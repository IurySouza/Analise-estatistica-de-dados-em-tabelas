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1CC2\"/>
    </mc:Choice>
  </mc:AlternateContent>
  <xr:revisionPtr revIDLastSave="0" documentId="8_{29E4FEF6-9BAC-45D0-99E3-BB1FB03338BB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Plan1" sheetId="1" r:id="rId1"/>
    <sheet name="Plan2" sheetId="2" r:id="rId2"/>
    <sheet name="Plan3" sheetId="3" r:id="rId3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M3" i="1" l="1"/>
  <c r="EM4" i="1"/>
  <c r="EM5" i="1"/>
  <c r="EM6" i="1"/>
  <c r="EM7" i="1"/>
  <c r="EM8" i="1"/>
  <c r="EM9" i="1"/>
  <c r="EM10" i="1"/>
  <c r="EM11" i="1"/>
  <c r="EM12" i="1"/>
  <c r="EM13" i="1"/>
  <c r="EM14" i="1"/>
  <c r="EM15" i="1"/>
  <c r="EM16" i="1"/>
  <c r="EM17" i="1"/>
  <c r="EM18" i="1"/>
  <c r="EM19" i="1"/>
  <c r="EM20" i="1"/>
  <c r="EM21" i="1"/>
  <c r="EM22" i="1"/>
  <c r="EM23" i="1"/>
  <c r="EM24" i="1"/>
  <c r="EM25" i="1"/>
  <c r="EM26" i="1"/>
  <c r="EM27" i="1"/>
  <c r="EM28" i="1"/>
  <c r="EM29" i="1"/>
  <c r="EM30" i="1"/>
  <c r="EM31" i="1"/>
  <c r="EM32" i="1"/>
  <c r="EM33" i="1"/>
  <c r="EM34" i="1"/>
  <c r="EM35" i="1"/>
  <c r="EM36" i="1"/>
  <c r="EM37" i="1"/>
  <c r="EM38" i="1"/>
  <c r="EM39" i="1"/>
  <c r="EM40" i="1"/>
  <c r="EM41" i="1"/>
  <c r="EM42" i="1"/>
  <c r="EM43" i="1"/>
  <c r="EM44" i="1"/>
  <c r="EM45" i="1"/>
  <c r="EM46" i="1"/>
  <c r="EM47" i="1"/>
  <c r="EM48" i="1"/>
  <c r="EM49" i="1"/>
  <c r="EM50" i="1"/>
  <c r="EM51" i="1"/>
  <c r="EM52" i="1"/>
  <c r="EM53" i="1"/>
  <c r="EM54" i="1"/>
  <c r="EM55" i="1"/>
  <c r="EM56" i="1"/>
  <c r="EM57" i="1"/>
  <c r="EM58" i="1"/>
  <c r="EM59" i="1"/>
  <c r="EM60" i="1"/>
  <c r="EM61" i="1"/>
  <c r="EM62" i="1"/>
  <c r="EM63" i="1"/>
  <c r="EM64" i="1"/>
  <c r="EM65" i="1"/>
  <c r="EM66" i="1"/>
  <c r="EM67" i="1"/>
  <c r="EM68" i="1"/>
  <c r="EM69" i="1"/>
  <c r="EM70" i="1"/>
  <c r="EM71" i="1"/>
  <c r="EM72" i="1"/>
  <c r="EM73" i="1"/>
  <c r="EM74" i="1"/>
  <c r="EM75" i="1"/>
  <c r="EM77" i="1"/>
  <c r="EM78" i="1"/>
  <c r="EM79" i="1"/>
  <c r="EM80" i="1"/>
  <c r="EM2" i="1"/>
  <c r="EJ3" i="1"/>
  <c r="EJ4" i="1"/>
  <c r="EJ5" i="1"/>
  <c r="EJ6" i="1"/>
  <c r="EJ7" i="1"/>
  <c r="EJ8" i="1"/>
  <c r="EJ9" i="1"/>
  <c r="EJ10" i="1"/>
  <c r="EJ11" i="1"/>
  <c r="EJ12" i="1"/>
  <c r="EJ13" i="1"/>
  <c r="EJ14" i="1"/>
  <c r="EJ15" i="1"/>
  <c r="EJ16" i="1"/>
  <c r="EJ17" i="1"/>
  <c r="EJ18" i="1"/>
  <c r="EJ19" i="1"/>
  <c r="EJ20" i="1"/>
  <c r="EJ21" i="1"/>
  <c r="EJ22" i="1"/>
  <c r="EJ23" i="1"/>
  <c r="EJ24" i="1"/>
  <c r="EJ25" i="1"/>
  <c r="EJ26" i="1"/>
  <c r="EJ27" i="1"/>
  <c r="EJ28" i="1"/>
  <c r="EJ29" i="1"/>
  <c r="EJ30" i="1"/>
  <c r="EJ31" i="1"/>
  <c r="EJ32" i="1"/>
  <c r="EJ33" i="1"/>
  <c r="EJ34" i="1"/>
  <c r="EJ35" i="1"/>
  <c r="EJ36" i="1"/>
  <c r="EJ37" i="1"/>
  <c r="EJ38" i="1"/>
  <c r="EJ39" i="1"/>
  <c r="EJ40" i="1"/>
  <c r="EJ41" i="1"/>
  <c r="EJ42" i="1"/>
  <c r="EJ43" i="1"/>
  <c r="EJ44" i="1"/>
  <c r="EJ45" i="1"/>
  <c r="EJ46" i="1"/>
  <c r="EJ47" i="1"/>
  <c r="EJ48" i="1"/>
  <c r="EJ49" i="1"/>
  <c r="EJ50" i="1"/>
  <c r="EJ51" i="1"/>
  <c r="EJ52" i="1"/>
  <c r="EJ53" i="1"/>
  <c r="EJ54" i="1"/>
  <c r="EJ55" i="1"/>
  <c r="EJ56" i="1"/>
  <c r="EJ57" i="1"/>
  <c r="EJ58" i="1"/>
  <c r="EJ59" i="1"/>
  <c r="EJ60" i="1"/>
  <c r="EJ61" i="1"/>
  <c r="EJ62" i="1"/>
  <c r="EJ63" i="1"/>
  <c r="EJ64" i="1"/>
  <c r="EJ65" i="1"/>
  <c r="EJ66" i="1"/>
  <c r="EJ67" i="1"/>
  <c r="EJ68" i="1"/>
  <c r="EJ69" i="1"/>
  <c r="EJ70" i="1"/>
  <c r="EJ71" i="1"/>
  <c r="EJ72" i="1"/>
  <c r="EJ73" i="1"/>
  <c r="EJ74" i="1"/>
  <c r="EJ75" i="1"/>
  <c r="EJ76" i="1"/>
  <c r="EJ77" i="1"/>
  <c r="EJ78" i="1"/>
  <c r="EJ79" i="1"/>
  <c r="EJ80" i="1"/>
  <c r="EJ2" i="1"/>
  <c r="EE3" i="1"/>
  <c r="EE4" i="1"/>
  <c r="EE5" i="1"/>
  <c r="EE6" i="1"/>
  <c r="EE7" i="1"/>
  <c r="EE8" i="1"/>
  <c r="EE9" i="1"/>
  <c r="EE10" i="1"/>
  <c r="EE11" i="1"/>
  <c r="EE12" i="1"/>
  <c r="EE13" i="1"/>
  <c r="EE14" i="1"/>
  <c r="EE15" i="1"/>
  <c r="EE16" i="1"/>
  <c r="EE17" i="1"/>
  <c r="EE18" i="1"/>
  <c r="EE19" i="1"/>
  <c r="EE20" i="1"/>
  <c r="EE21" i="1"/>
  <c r="EE22" i="1"/>
  <c r="EE23" i="1"/>
  <c r="EE24" i="1"/>
  <c r="EE25" i="1"/>
  <c r="EE26" i="1"/>
  <c r="EE27" i="1"/>
  <c r="EE28" i="1"/>
  <c r="EE29" i="1"/>
  <c r="EE30" i="1"/>
  <c r="EE31" i="1"/>
  <c r="EE32" i="1"/>
  <c r="EE33" i="1"/>
  <c r="EE34" i="1"/>
  <c r="EE35" i="1"/>
  <c r="EE36" i="1"/>
  <c r="EE37" i="1"/>
  <c r="EE38" i="1"/>
  <c r="EE39" i="1"/>
  <c r="EE40" i="1"/>
  <c r="EE41" i="1"/>
  <c r="EE42" i="1"/>
  <c r="EE43" i="1"/>
  <c r="EE44" i="1"/>
  <c r="EE45" i="1"/>
  <c r="EE46" i="1"/>
  <c r="EE47" i="1"/>
  <c r="EE48" i="1"/>
  <c r="EE49" i="1"/>
  <c r="EE50" i="1"/>
  <c r="EE51" i="1"/>
  <c r="EE52" i="1"/>
  <c r="EE53" i="1"/>
  <c r="EE54" i="1"/>
  <c r="EE55" i="1"/>
  <c r="EE56" i="1"/>
  <c r="EE57" i="1"/>
  <c r="EE58" i="1"/>
  <c r="EE59" i="1"/>
  <c r="EE60" i="1"/>
  <c r="EE61" i="1"/>
  <c r="EE62" i="1"/>
  <c r="EE63" i="1"/>
  <c r="EE64" i="1"/>
  <c r="EE65" i="1"/>
  <c r="EE66" i="1"/>
  <c r="EE67" i="1"/>
  <c r="EE68" i="1"/>
  <c r="EE69" i="1"/>
  <c r="EE70" i="1"/>
  <c r="EE71" i="1"/>
  <c r="EE72" i="1"/>
  <c r="EE73" i="1"/>
  <c r="EE74" i="1"/>
  <c r="EE75" i="1"/>
  <c r="EE76" i="1"/>
  <c r="EE77" i="1"/>
  <c r="EE78" i="1"/>
  <c r="EE79" i="1"/>
  <c r="EE80" i="1"/>
  <c r="EE2" i="1"/>
  <c r="EB3" i="1"/>
  <c r="EB4" i="1"/>
  <c r="EB5" i="1"/>
  <c r="EB6" i="1"/>
  <c r="EB7" i="1"/>
  <c r="EB8" i="1"/>
  <c r="EB9" i="1"/>
  <c r="EB10" i="1"/>
  <c r="EB11" i="1"/>
  <c r="EB12" i="1"/>
  <c r="EB13" i="1"/>
  <c r="EB14" i="1"/>
  <c r="EB15" i="1"/>
  <c r="EB16" i="1"/>
  <c r="EB17" i="1"/>
  <c r="EB18" i="1"/>
  <c r="EB19" i="1"/>
  <c r="EB20" i="1"/>
  <c r="EB21" i="1"/>
  <c r="EB22" i="1"/>
  <c r="EB23" i="1"/>
  <c r="EB24" i="1"/>
  <c r="EB25" i="1"/>
  <c r="EB26" i="1"/>
  <c r="EB27" i="1"/>
  <c r="EB28" i="1"/>
  <c r="EB29" i="1"/>
  <c r="EB30" i="1"/>
  <c r="EB31" i="1"/>
  <c r="EB32" i="1"/>
  <c r="EB33" i="1"/>
  <c r="EB34" i="1"/>
  <c r="EB35" i="1"/>
  <c r="EB36" i="1"/>
  <c r="EB37" i="1"/>
  <c r="EB38" i="1"/>
  <c r="EB39" i="1"/>
  <c r="EB40" i="1"/>
  <c r="EB41" i="1"/>
  <c r="EB42" i="1"/>
  <c r="EB43" i="1"/>
  <c r="EB44" i="1"/>
  <c r="EB45" i="1"/>
  <c r="EB46" i="1"/>
  <c r="EB47" i="1"/>
  <c r="EB48" i="1"/>
  <c r="EB49" i="1"/>
  <c r="EB50" i="1"/>
  <c r="EB51" i="1"/>
  <c r="EB52" i="1"/>
  <c r="EB53" i="1"/>
  <c r="EB54" i="1"/>
  <c r="EB55" i="1"/>
  <c r="EB56" i="1"/>
  <c r="EB57" i="1"/>
  <c r="EB58" i="1"/>
  <c r="EB59" i="1"/>
  <c r="EB60" i="1"/>
  <c r="EB61" i="1"/>
  <c r="EB62" i="1"/>
  <c r="EB63" i="1"/>
  <c r="EB64" i="1"/>
  <c r="EB65" i="1"/>
  <c r="EB66" i="1"/>
  <c r="EB67" i="1"/>
  <c r="EB68" i="1"/>
  <c r="EB69" i="1"/>
  <c r="EB70" i="1"/>
  <c r="EB71" i="1"/>
  <c r="EB72" i="1"/>
  <c r="EB73" i="1"/>
  <c r="EB74" i="1"/>
  <c r="EB75" i="1"/>
  <c r="EB76" i="1"/>
  <c r="EB77" i="1"/>
  <c r="EB78" i="1"/>
  <c r="EB79" i="1"/>
  <c r="EB80" i="1"/>
  <c r="EB2" i="1"/>
  <c r="DY3" i="1"/>
  <c r="DY4" i="1"/>
  <c r="DY5" i="1"/>
  <c r="DY6" i="1"/>
  <c r="DY7" i="1"/>
  <c r="DY8" i="1"/>
  <c r="DY9" i="1"/>
  <c r="DY10" i="1"/>
  <c r="DY11" i="1"/>
  <c r="DY12" i="1"/>
  <c r="DY13" i="1"/>
  <c r="DY14" i="1"/>
  <c r="DY15" i="1"/>
  <c r="DY16" i="1"/>
  <c r="DY17" i="1"/>
  <c r="DY18" i="1"/>
  <c r="DY19" i="1"/>
  <c r="DY20" i="1"/>
  <c r="DY21" i="1"/>
  <c r="DY23" i="1"/>
  <c r="DY24" i="1"/>
  <c r="DY25" i="1"/>
  <c r="DY26" i="1"/>
  <c r="DY27" i="1"/>
  <c r="DY28" i="1"/>
  <c r="DY29" i="1"/>
  <c r="DY30" i="1"/>
  <c r="DY31" i="1"/>
  <c r="DY32" i="1"/>
  <c r="DY33" i="1"/>
  <c r="DY34" i="1"/>
  <c r="DY35" i="1"/>
  <c r="DY36" i="1"/>
  <c r="DY37" i="1"/>
  <c r="DY38" i="1"/>
  <c r="DY39" i="1"/>
  <c r="DY40" i="1"/>
  <c r="DY41" i="1"/>
  <c r="DY42" i="1"/>
  <c r="DY43" i="1"/>
  <c r="DY44" i="1"/>
  <c r="DY45" i="1"/>
  <c r="DY46" i="1"/>
  <c r="DY47" i="1"/>
  <c r="DY48" i="1"/>
  <c r="DY49" i="1"/>
  <c r="DY50" i="1"/>
  <c r="DY51" i="1"/>
  <c r="DY52" i="1"/>
  <c r="DY53" i="1"/>
  <c r="DY54" i="1"/>
  <c r="DY55" i="1"/>
  <c r="DY56" i="1"/>
  <c r="DY57" i="1"/>
  <c r="DY58" i="1"/>
  <c r="DY59" i="1"/>
  <c r="DY60" i="1"/>
  <c r="DY61" i="1"/>
  <c r="DY62" i="1"/>
  <c r="DY63" i="1"/>
  <c r="DY64" i="1"/>
  <c r="DY65" i="1"/>
  <c r="DY66" i="1"/>
  <c r="DY67" i="1"/>
  <c r="DY68" i="1"/>
  <c r="DY69" i="1"/>
  <c r="DY70" i="1"/>
  <c r="DY71" i="1"/>
  <c r="DY72" i="1"/>
  <c r="DY73" i="1"/>
  <c r="DY74" i="1"/>
  <c r="DY75" i="1"/>
  <c r="DY76" i="1"/>
  <c r="DY77" i="1"/>
  <c r="DY78" i="1"/>
  <c r="DY79" i="1"/>
  <c r="DY80" i="1"/>
  <c r="DY2" i="1"/>
  <c r="DV3" i="1"/>
  <c r="DV4" i="1"/>
  <c r="DV5" i="1"/>
  <c r="DV6" i="1"/>
  <c r="DV7" i="1"/>
  <c r="DV8" i="1"/>
  <c r="DV9" i="1"/>
  <c r="DV10" i="1"/>
  <c r="DV11" i="1"/>
  <c r="DV12" i="1"/>
  <c r="DV13" i="1"/>
  <c r="DV14" i="1"/>
  <c r="DV15" i="1"/>
  <c r="DV16" i="1"/>
  <c r="DV17" i="1"/>
  <c r="DV18" i="1"/>
  <c r="DV19" i="1"/>
  <c r="DV20" i="1"/>
  <c r="DV21" i="1"/>
  <c r="DV22" i="1"/>
  <c r="DV23" i="1"/>
  <c r="DV24" i="1"/>
  <c r="DV25" i="1"/>
  <c r="DV26" i="1"/>
  <c r="DV27" i="1"/>
  <c r="DV28" i="1"/>
  <c r="DV29" i="1"/>
  <c r="DV30" i="1"/>
  <c r="DV31" i="1"/>
  <c r="DV32" i="1"/>
  <c r="DV33" i="1"/>
  <c r="DV34" i="1"/>
  <c r="DV35" i="1"/>
  <c r="DV36" i="1"/>
  <c r="DV37" i="1"/>
  <c r="DV38" i="1"/>
  <c r="DV39" i="1"/>
  <c r="DV40" i="1"/>
  <c r="DV41" i="1"/>
  <c r="DV42" i="1"/>
  <c r="DV43" i="1"/>
  <c r="DV44" i="1"/>
  <c r="DV45" i="1"/>
  <c r="DV46" i="1"/>
  <c r="DV47" i="1"/>
  <c r="DV48" i="1"/>
  <c r="DV49" i="1"/>
  <c r="DV50" i="1"/>
  <c r="DV51" i="1"/>
  <c r="DV52" i="1"/>
  <c r="DV53" i="1"/>
  <c r="DV54" i="1"/>
  <c r="DV55" i="1"/>
  <c r="DV56" i="1"/>
  <c r="DV57" i="1"/>
  <c r="DV58" i="1"/>
  <c r="DV59" i="1"/>
  <c r="DV60" i="1"/>
  <c r="DV61" i="1"/>
  <c r="DV62" i="1"/>
  <c r="DV63" i="1"/>
  <c r="DV64" i="1"/>
  <c r="DV65" i="1"/>
  <c r="DV66" i="1"/>
  <c r="DV67" i="1"/>
  <c r="DV68" i="1"/>
  <c r="DV69" i="1"/>
  <c r="DV70" i="1"/>
  <c r="DV71" i="1"/>
  <c r="DV72" i="1"/>
  <c r="DV73" i="1"/>
  <c r="DV74" i="1"/>
  <c r="DV75" i="1"/>
  <c r="DV76" i="1"/>
  <c r="DV77" i="1"/>
  <c r="DV78" i="1"/>
  <c r="DV79" i="1"/>
  <c r="DV80" i="1"/>
  <c r="DV2" i="1"/>
  <c r="DS3" i="1"/>
  <c r="DS4" i="1"/>
  <c r="DS5" i="1"/>
  <c r="DS7" i="1"/>
  <c r="DS8" i="1"/>
  <c r="DS9" i="1"/>
  <c r="DS10" i="1"/>
  <c r="DS11" i="1"/>
  <c r="DS12" i="1"/>
  <c r="DS13" i="1"/>
  <c r="DS14" i="1"/>
  <c r="DS15" i="1"/>
  <c r="DS16" i="1"/>
  <c r="DS17" i="1"/>
  <c r="DS18" i="1"/>
  <c r="DS19" i="1"/>
  <c r="DS20" i="1"/>
  <c r="DS21" i="1"/>
  <c r="DS22" i="1"/>
  <c r="DS23" i="1"/>
  <c r="DS24" i="1"/>
  <c r="DS25" i="1"/>
  <c r="DS26" i="1"/>
  <c r="DS27" i="1"/>
  <c r="DS28" i="1"/>
  <c r="DS29" i="1"/>
  <c r="DS30" i="1"/>
  <c r="DS31" i="1"/>
  <c r="DS32" i="1"/>
  <c r="DS33" i="1"/>
  <c r="DS34" i="1"/>
  <c r="DS35" i="1"/>
  <c r="DS36" i="1"/>
  <c r="DS37" i="1"/>
  <c r="DS38" i="1"/>
  <c r="DS39" i="1"/>
  <c r="DS40" i="1"/>
  <c r="DS41" i="1"/>
  <c r="DS42" i="1"/>
  <c r="DS43" i="1"/>
  <c r="DS44" i="1"/>
  <c r="DS45" i="1"/>
  <c r="DS46" i="1"/>
  <c r="DS47" i="1"/>
  <c r="DS48" i="1"/>
  <c r="DS49" i="1"/>
  <c r="DS50" i="1"/>
  <c r="DS51" i="1"/>
  <c r="DS52" i="1"/>
  <c r="DS53" i="1"/>
  <c r="DS54" i="1"/>
  <c r="DS55" i="1"/>
  <c r="DS56" i="1"/>
  <c r="DS57" i="1"/>
  <c r="DS58" i="1"/>
  <c r="DS59" i="1"/>
  <c r="DS60" i="1"/>
  <c r="DS61" i="1"/>
  <c r="DS62" i="1"/>
  <c r="DS63" i="1"/>
  <c r="DS64" i="1"/>
  <c r="DS65" i="1"/>
  <c r="DS66" i="1"/>
  <c r="DS67" i="1"/>
  <c r="DS68" i="1"/>
  <c r="DS69" i="1"/>
  <c r="DS70" i="1"/>
  <c r="DS71" i="1"/>
  <c r="DS72" i="1"/>
  <c r="DS73" i="1"/>
  <c r="DS74" i="1"/>
  <c r="DS75" i="1"/>
  <c r="DS76" i="1"/>
  <c r="DS77" i="1"/>
  <c r="DS78" i="1"/>
  <c r="DS79" i="1"/>
  <c r="DS80" i="1"/>
  <c r="DS2" i="1"/>
  <c r="DP3" i="1"/>
  <c r="DP4" i="1"/>
  <c r="DP5" i="1"/>
  <c r="DP6" i="1"/>
  <c r="DP7" i="1"/>
  <c r="DP8" i="1"/>
  <c r="DP9" i="1"/>
  <c r="DP10" i="1"/>
  <c r="DP11" i="1"/>
  <c r="DP12" i="1"/>
  <c r="DP13" i="1"/>
  <c r="DP14" i="1"/>
  <c r="DP15" i="1"/>
  <c r="DP16" i="1"/>
  <c r="DP17" i="1"/>
  <c r="DP18" i="1"/>
  <c r="DP19" i="1"/>
  <c r="DP20" i="1"/>
  <c r="DP21" i="1"/>
  <c r="DP22" i="1"/>
  <c r="DP23" i="1"/>
  <c r="DP24" i="1"/>
  <c r="DP25" i="1"/>
  <c r="DP26" i="1"/>
  <c r="DP27" i="1"/>
  <c r="DP28" i="1"/>
  <c r="DP29" i="1"/>
  <c r="DP30" i="1"/>
  <c r="DP31" i="1"/>
  <c r="DP32" i="1"/>
  <c r="DP33" i="1"/>
  <c r="DP34" i="1"/>
  <c r="DP35" i="1"/>
  <c r="DP36" i="1"/>
  <c r="DP37" i="1"/>
  <c r="DP38" i="1"/>
  <c r="DP39" i="1"/>
  <c r="DP40" i="1"/>
  <c r="DP41" i="1"/>
  <c r="DP42" i="1"/>
  <c r="DP43" i="1"/>
  <c r="DP44" i="1"/>
  <c r="DP45" i="1"/>
  <c r="DP46" i="1"/>
  <c r="DP47" i="1"/>
  <c r="DP48" i="1"/>
  <c r="DP49" i="1"/>
  <c r="DP50" i="1"/>
  <c r="DP51" i="1"/>
  <c r="DP52" i="1"/>
  <c r="DP53" i="1"/>
  <c r="DP54" i="1"/>
  <c r="DP56" i="1"/>
  <c r="DP57" i="1"/>
  <c r="DP58" i="1"/>
  <c r="DP59" i="1"/>
  <c r="DP60" i="1"/>
  <c r="DP61" i="1"/>
  <c r="DP62" i="1"/>
  <c r="DP63" i="1"/>
  <c r="DP64" i="1"/>
  <c r="DP65" i="1"/>
  <c r="DP66" i="1"/>
  <c r="DP67" i="1"/>
  <c r="DP68" i="1"/>
  <c r="DP69" i="1"/>
  <c r="DP70" i="1"/>
  <c r="DP71" i="1"/>
  <c r="DP72" i="1"/>
  <c r="DP73" i="1"/>
  <c r="DP74" i="1"/>
  <c r="DP75" i="1"/>
  <c r="DP76" i="1"/>
  <c r="DP77" i="1"/>
  <c r="DP78" i="1"/>
  <c r="DP79" i="1"/>
  <c r="DP80" i="1"/>
  <c r="DP2" i="1"/>
  <c r="DM40" i="1"/>
  <c r="DM3" i="1"/>
  <c r="DM4" i="1"/>
  <c r="DM5" i="1"/>
  <c r="DM6" i="1"/>
  <c r="DM7" i="1"/>
  <c r="DM8" i="1"/>
  <c r="DM9" i="1"/>
  <c r="DM10" i="1"/>
  <c r="DM11" i="1"/>
  <c r="DM12" i="1"/>
  <c r="DM13" i="1"/>
  <c r="DM14" i="1"/>
  <c r="DM15" i="1"/>
  <c r="DM16" i="1"/>
  <c r="DM17" i="1"/>
  <c r="DM18" i="1"/>
  <c r="DM19" i="1"/>
  <c r="DM20" i="1"/>
  <c r="DM21" i="1"/>
  <c r="DM22" i="1"/>
  <c r="DM23" i="1"/>
  <c r="DM24" i="1"/>
  <c r="DM25" i="1"/>
  <c r="DM26" i="1"/>
  <c r="DM27" i="1"/>
  <c r="DM28" i="1"/>
  <c r="DM29" i="1"/>
  <c r="DM30" i="1"/>
  <c r="DM31" i="1"/>
  <c r="DM32" i="1"/>
  <c r="DM33" i="1"/>
  <c r="DM34" i="1"/>
  <c r="DM35" i="1"/>
  <c r="DM36" i="1"/>
  <c r="DM37" i="1"/>
  <c r="DM38" i="1"/>
  <c r="DM39" i="1"/>
  <c r="DM41" i="1"/>
  <c r="DM42" i="1"/>
  <c r="DM43" i="1"/>
  <c r="DM44" i="1"/>
  <c r="DM45" i="1"/>
  <c r="DM46" i="1"/>
  <c r="DM47" i="1"/>
  <c r="DM48" i="1"/>
  <c r="DM49" i="1"/>
  <c r="DM50" i="1"/>
  <c r="DM51" i="1"/>
  <c r="DM52" i="1"/>
  <c r="DM53" i="1"/>
  <c r="DM54" i="1"/>
  <c r="DM55" i="1"/>
  <c r="DM56" i="1"/>
  <c r="DM57" i="1"/>
  <c r="DM58" i="1"/>
  <c r="DM59" i="1"/>
  <c r="DM60" i="1"/>
  <c r="DM61" i="1"/>
  <c r="DM62" i="1"/>
  <c r="DM63" i="1"/>
  <c r="DM64" i="1"/>
  <c r="DM65" i="1"/>
  <c r="DM66" i="1"/>
  <c r="DM67" i="1"/>
  <c r="DM68" i="1"/>
  <c r="DM69" i="1"/>
  <c r="DM70" i="1"/>
  <c r="DM71" i="1"/>
  <c r="DM72" i="1"/>
  <c r="DM73" i="1"/>
  <c r="DM74" i="1"/>
  <c r="DM75" i="1"/>
  <c r="DM76" i="1"/>
  <c r="DM77" i="1"/>
  <c r="DM78" i="1"/>
  <c r="DM79" i="1"/>
  <c r="DM80" i="1"/>
  <c r="DM2" i="1"/>
  <c r="CO3" i="1"/>
  <c r="CO4" i="1"/>
  <c r="CO5" i="1"/>
  <c r="CO6" i="1"/>
  <c r="CO7" i="1"/>
  <c r="CO8" i="1"/>
  <c r="CO9" i="1"/>
  <c r="CO10" i="1"/>
  <c r="CO11" i="1"/>
  <c r="CO12" i="1"/>
  <c r="CO13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61" i="1"/>
  <c r="CO63" i="1"/>
  <c r="CO64" i="1"/>
  <c r="CO65" i="1"/>
  <c r="CO66" i="1"/>
  <c r="CO67" i="1"/>
  <c r="CO68" i="1"/>
  <c r="CO69" i="1"/>
  <c r="CO70" i="1"/>
  <c r="CO71" i="1"/>
  <c r="CO72" i="1"/>
  <c r="CO73" i="1"/>
  <c r="CO74" i="1"/>
  <c r="CO75" i="1"/>
  <c r="CO76" i="1"/>
  <c r="CO77" i="1"/>
  <c r="CO78" i="1"/>
  <c r="CO79" i="1"/>
  <c r="CO80" i="1"/>
  <c r="CO2" i="1"/>
  <c r="CL3" i="1"/>
  <c r="CL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2" i="1"/>
  <c r="CI3" i="1"/>
  <c r="CI4" i="1"/>
  <c r="CI5" i="1"/>
  <c r="CI6" i="1"/>
  <c r="CI7" i="1"/>
  <c r="CI8" i="1"/>
  <c r="CI9" i="1"/>
  <c r="CI10" i="1"/>
  <c r="CI11" i="1"/>
  <c r="CI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2" i="1"/>
  <c r="CC3" i="1"/>
  <c r="CC4" i="1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2" i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2" i="1"/>
  <c r="BT3" i="1"/>
  <c r="BT4" i="1"/>
  <c r="BT5" i="1"/>
  <c r="BT6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8" i="1"/>
  <c r="BT79" i="1"/>
  <c r="BT80" i="1"/>
  <c r="BT2" i="1"/>
  <c r="BQ3" i="1"/>
  <c r="BQ4" i="1"/>
  <c r="BQ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2" i="1"/>
  <c r="BN3" i="1"/>
  <c r="BN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2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5" i="1"/>
  <c r="AK46" i="1"/>
  <c r="AK47" i="1"/>
  <c r="AK48" i="1"/>
  <c r="AK49" i="1"/>
  <c r="AK50" i="1"/>
  <c r="AK53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2" i="1"/>
  <c r="EG80" i="1"/>
  <c r="EF80" i="1"/>
  <c r="DF80" i="1"/>
  <c r="DE80" i="1"/>
  <c r="DB80" i="1"/>
  <c r="DA80" i="1"/>
  <c r="CX80" i="1"/>
  <c r="CW80" i="1"/>
  <c r="CU80" i="1"/>
  <c r="CT80" i="1"/>
  <c r="CV80" i="1" s="1"/>
  <c r="CE80" i="1"/>
  <c r="DD80" i="1"/>
  <c r="CD80" i="1"/>
  <c r="DC80" i="1"/>
  <c r="BV80" i="1"/>
  <c r="BU80" i="1"/>
  <c r="BD80" i="1"/>
  <c r="BC80" i="1"/>
  <c r="BE80" i="1" s="1"/>
  <c r="EG79" i="1"/>
  <c r="EF79" i="1"/>
  <c r="DF79" i="1"/>
  <c r="DE79" i="1"/>
  <c r="DB79" i="1"/>
  <c r="DA79" i="1"/>
  <c r="CX79" i="1"/>
  <c r="CW79" i="1"/>
  <c r="CU79" i="1"/>
  <c r="CT79" i="1"/>
  <c r="CV79" i="1" s="1"/>
  <c r="CE79" i="1"/>
  <c r="DD79" i="1"/>
  <c r="CD79" i="1"/>
  <c r="DC79" i="1"/>
  <c r="BV79" i="1"/>
  <c r="BU79" i="1"/>
  <c r="BD79" i="1"/>
  <c r="BC79" i="1"/>
  <c r="BE79" i="1" s="1"/>
  <c r="EG78" i="1"/>
  <c r="EF78" i="1"/>
  <c r="DF78" i="1"/>
  <c r="DE78" i="1"/>
  <c r="DB78" i="1"/>
  <c r="DA78" i="1"/>
  <c r="CX78" i="1"/>
  <c r="CW78" i="1"/>
  <c r="CU78" i="1"/>
  <c r="CT78" i="1"/>
  <c r="CV78" i="1" s="1"/>
  <c r="CE78" i="1"/>
  <c r="DD78" i="1"/>
  <c r="CD78" i="1"/>
  <c r="DC78" i="1"/>
  <c r="BV78" i="1"/>
  <c r="BU78" i="1"/>
  <c r="BD78" i="1"/>
  <c r="BC78" i="1"/>
  <c r="BE78" i="1" s="1"/>
  <c r="EG77" i="1"/>
  <c r="EF77" i="1"/>
  <c r="DF77" i="1"/>
  <c r="DE77" i="1"/>
  <c r="DB77" i="1"/>
  <c r="DA77" i="1"/>
  <c r="CX77" i="1"/>
  <c r="CW77" i="1"/>
  <c r="CU77" i="1"/>
  <c r="CT77" i="1"/>
  <c r="CV77" i="1" s="1"/>
  <c r="CE77" i="1"/>
  <c r="DD77" i="1"/>
  <c r="CD77" i="1"/>
  <c r="DC77" i="1"/>
  <c r="BV77" i="1"/>
  <c r="BU77" i="1"/>
  <c r="BD77" i="1"/>
  <c r="BC77" i="1"/>
  <c r="BE77" i="1" s="1"/>
  <c r="EG76" i="1"/>
  <c r="EF76" i="1"/>
  <c r="DF76" i="1"/>
  <c r="DE76" i="1"/>
  <c r="DB76" i="1"/>
  <c r="DA76" i="1"/>
  <c r="CX76" i="1"/>
  <c r="CW76" i="1"/>
  <c r="CU76" i="1"/>
  <c r="CT76" i="1"/>
  <c r="CV76" i="1" s="1"/>
  <c r="CE76" i="1"/>
  <c r="DD76" i="1"/>
  <c r="CD76" i="1"/>
  <c r="DC76" i="1"/>
  <c r="BV76" i="1"/>
  <c r="BU76" i="1"/>
  <c r="BD76" i="1"/>
  <c r="BC76" i="1"/>
  <c r="BE76" i="1" s="1"/>
  <c r="EG75" i="1"/>
  <c r="EF75" i="1"/>
  <c r="DF75" i="1"/>
  <c r="DE75" i="1"/>
  <c r="DB75" i="1"/>
  <c r="DA75" i="1"/>
  <c r="CX75" i="1"/>
  <c r="CW75" i="1"/>
  <c r="CU75" i="1"/>
  <c r="CT75" i="1"/>
  <c r="CV75" i="1" s="1"/>
  <c r="CE75" i="1"/>
  <c r="DD75" i="1"/>
  <c r="CD75" i="1"/>
  <c r="DC75" i="1"/>
  <c r="BV75" i="1"/>
  <c r="BU75" i="1"/>
  <c r="BD75" i="1"/>
  <c r="BC75" i="1"/>
  <c r="BE75" i="1" s="1"/>
  <c r="EG74" i="1"/>
  <c r="EF74" i="1"/>
  <c r="DF74" i="1"/>
  <c r="DE74" i="1"/>
  <c r="DB74" i="1"/>
  <c r="DA74" i="1"/>
  <c r="CX74" i="1"/>
  <c r="CW74" i="1"/>
  <c r="CU74" i="1"/>
  <c r="CT74" i="1"/>
  <c r="CV74" i="1" s="1"/>
  <c r="CE74" i="1"/>
  <c r="DD74" i="1"/>
  <c r="CD74" i="1"/>
  <c r="DC74" i="1"/>
  <c r="BV74" i="1"/>
  <c r="BU74" i="1"/>
  <c r="BD74" i="1"/>
  <c r="BC74" i="1"/>
  <c r="BE74" i="1" s="1"/>
  <c r="EF73" i="1"/>
  <c r="DF73" i="1"/>
  <c r="DE73" i="1"/>
  <c r="DB73" i="1"/>
  <c r="DA73" i="1"/>
  <c r="CX73" i="1"/>
  <c r="CW73" i="1"/>
  <c r="CU73" i="1"/>
  <c r="CT73" i="1"/>
  <c r="CV73" i="1" s="1"/>
  <c r="CE73" i="1"/>
  <c r="DD73" i="1"/>
  <c r="CD73" i="1"/>
  <c r="DC73" i="1"/>
  <c r="BV73" i="1"/>
  <c r="BU73" i="1"/>
  <c r="BD73" i="1"/>
  <c r="BC73" i="1"/>
  <c r="EG72" i="1"/>
  <c r="EF72" i="1"/>
  <c r="DF72" i="1"/>
  <c r="DE72" i="1"/>
  <c r="DB72" i="1"/>
  <c r="DA72" i="1"/>
  <c r="CX72" i="1"/>
  <c r="CW72" i="1"/>
  <c r="CU72" i="1"/>
  <c r="CT72" i="1"/>
  <c r="CV72" i="1"/>
  <c r="CE72" i="1"/>
  <c r="CZ72" i="1"/>
  <c r="CD72" i="1"/>
  <c r="DC72" i="1"/>
  <c r="BV72" i="1"/>
  <c r="BU72" i="1"/>
  <c r="BD72" i="1"/>
  <c r="BC72" i="1"/>
  <c r="EG71" i="1"/>
  <c r="EF71" i="1"/>
  <c r="DF71" i="1"/>
  <c r="DE71" i="1"/>
  <c r="DB71" i="1"/>
  <c r="DA71" i="1"/>
  <c r="CX71" i="1"/>
  <c r="CW71" i="1"/>
  <c r="CU71" i="1"/>
  <c r="CT71" i="1"/>
  <c r="CV71" i="1" s="1"/>
  <c r="CE71" i="1"/>
  <c r="DD71" i="1"/>
  <c r="CD71" i="1"/>
  <c r="DC71" i="1"/>
  <c r="BV71" i="1"/>
  <c r="BU71" i="1"/>
  <c r="BD71" i="1"/>
  <c r="BC71" i="1"/>
  <c r="EF70" i="1"/>
  <c r="DF70" i="1"/>
  <c r="DE70" i="1"/>
  <c r="DB70" i="1"/>
  <c r="DA70" i="1"/>
  <c r="CX70" i="1"/>
  <c r="CW70" i="1"/>
  <c r="CU70" i="1"/>
  <c r="CT70" i="1"/>
  <c r="CV70" i="1" s="1"/>
  <c r="CE70" i="1"/>
  <c r="DD70" i="1"/>
  <c r="CD70" i="1"/>
  <c r="DC70" i="1"/>
  <c r="BV70" i="1"/>
  <c r="BU70" i="1"/>
  <c r="BW70" i="1" s="1"/>
  <c r="BD70" i="1"/>
  <c r="BC70" i="1"/>
  <c r="EG69" i="1"/>
  <c r="EF69" i="1"/>
  <c r="DF69" i="1"/>
  <c r="DE69" i="1"/>
  <c r="DB69" i="1"/>
  <c r="DA69" i="1"/>
  <c r="CX69" i="1"/>
  <c r="CW69" i="1"/>
  <c r="CU69" i="1"/>
  <c r="CT69" i="1"/>
  <c r="CV69" i="1" s="1"/>
  <c r="CE69" i="1"/>
  <c r="CD69" i="1"/>
  <c r="CF69" i="1" s="1"/>
  <c r="DC69" i="1"/>
  <c r="BV69" i="1"/>
  <c r="BU69" i="1"/>
  <c r="BW69" i="1" s="1"/>
  <c r="BD69" i="1"/>
  <c r="BC69" i="1"/>
  <c r="EG68" i="1"/>
  <c r="EF68" i="1"/>
  <c r="DF68" i="1"/>
  <c r="DE68" i="1"/>
  <c r="DB68" i="1"/>
  <c r="DA68" i="1"/>
  <c r="CX68" i="1"/>
  <c r="CW68" i="1"/>
  <c r="CU68" i="1"/>
  <c r="CT68" i="1"/>
  <c r="CE68" i="1"/>
  <c r="DD68" i="1"/>
  <c r="CD68" i="1"/>
  <c r="DC68" i="1"/>
  <c r="BV68" i="1"/>
  <c r="BU68" i="1"/>
  <c r="BD68" i="1"/>
  <c r="BC68" i="1"/>
  <c r="EG67" i="1"/>
  <c r="EF67" i="1"/>
  <c r="DF67" i="1"/>
  <c r="DE67" i="1"/>
  <c r="DB67" i="1"/>
  <c r="DA67" i="1"/>
  <c r="CX67" i="1"/>
  <c r="CW67" i="1"/>
  <c r="CU67" i="1"/>
  <c r="CT67" i="1"/>
  <c r="CV67" i="1" s="1"/>
  <c r="CE67" i="1"/>
  <c r="DD67" i="1"/>
  <c r="CD67" i="1"/>
  <c r="DC67" i="1"/>
  <c r="BV67" i="1"/>
  <c r="BU67" i="1"/>
  <c r="BD67" i="1"/>
  <c r="BC67" i="1"/>
  <c r="EG66" i="1"/>
  <c r="EF66" i="1"/>
  <c r="DF66" i="1"/>
  <c r="DE66" i="1"/>
  <c r="DB66" i="1"/>
  <c r="DA66" i="1"/>
  <c r="CX66" i="1"/>
  <c r="CW66" i="1"/>
  <c r="CU66" i="1"/>
  <c r="CT66" i="1"/>
  <c r="CV66" i="1" s="1"/>
  <c r="CE66" i="1"/>
  <c r="DD66" i="1"/>
  <c r="CD66" i="1"/>
  <c r="CY66" i="1" s="1"/>
  <c r="DC66" i="1"/>
  <c r="BV66" i="1"/>
  <c r="BU66" i="1"/>
  <c r="BW66" i="1" s="1"/>
  <c r="BD66" i="1"/>
  <c r="BC66" i="1"/>
  <c r="BE66" i="1" s="1"/>
  <c r="EG65" i="1"/>
  <c r="EF65" i="1"/>
  <c r="DF65" i="1"/>
  <c r="DE65" i="1"/>
  <c r="DB65" i="1"/>
  <c r="DA65" i="1"/>
  <c r="CX65" i="1"/>
  <c r="CW65" i="1"/>
  <c r="CU65" i="1"/>
  <c r="CT65" i="1"/>
  <c r="CV65" i="1" s="1"/>
  <c r="CD65" i="1"/>
  <c r="CY65" i="1"/>
  <c r="BV65" i="1"/>
  <c r="BU65" i="1"/>
  <c r="BD65" i="1"/>
  <c r="BC65" i="1"/>
  <c r="EG64" i="1"/>
  <c r="EF64" i="1"/>
  <c r="DF64" i="1"/>
  <c r="DE64" i="1"/>
  <c r="DB64" i="1"/>
  <c r="DA64" i="1"/>
  <c r="CX64" i="1"/>
  <c r="CW64" i="1"/>
  <c r="CU64" i="1"/>
  <c r="CT64" i="1"/>
  <c r="CE64" i="1"/>
  <c r="DD64" i="1"/>
  <c r="CD64" i="1"/>
  <c r="DC64" i="1"/>
  <c r="BV64" i="1"/>
  <c r="BU64" i="1"/>
  <c r="BD64" i="1"/>
  <c r="BC64" i="1"/>
  <c r="EG63" i="1"/>
  <c r="EF63" i="1"/>
  <c r="DF63" i="1"/>
  <c r="DE63" i="1"/>
  <c r="DB63" i="1"/>
  <c r="DA63" i="1"/>
  <c r="CX63" i="1"/>
  <c r="CW63" i="1"/>
  <c r="CU63" i="1"/>
  <c r="CT63" i="1"/>
  <c r="CV63" i="1" s="1"/>
  <c r="CE63" i="1"/>
  <c r="CZ63" i="1"/>
  <c r="CD63" i="1"/>
  <c r="DC63" i="1"/>
  <c r="BV63" i="1"/>
  <c r="BU63" i="1"/>
  <c r="BD63" i="1"/>
  <c r="BC63" i="1"/>
  <c r="EG62" i="1"/>
  <c r="EF62" i="1"/>
  <c r="DF62" i="1"/>
  <c r="DE62" i="1"/>
  <c r="DB62" i="1"/>
  <c r="DA62" i="1"/>
  <c r="CX62" i="1"/>
  <c r="CW62" i="1"/>
  <c r="CT62" i="1"/>
  <c r="CE62" i="1"/>
  <c r="DD62" i="1"/>
  <c r="CD62" i="1"/>
  <c r="DC62" i="1"/>
  <c r="BV62" i="1"/>
  <c r="BU62" i="1"/>
  <c r="BD62" i="1"/>
  <c r="BC62" i="1"/>
  <c r="EG61" i="1"/>
  <c r="EF61" i="1"/>
  <c r="DF61" i="1"/>
  <c r="DE61" i="1"/>
  <c r="DB61" i="1"/>
  <c r="DA61" i="1"/>
  <c r="CX61" i="1"/>
  <c r="CW61" i="1"/>
  <c r="CU61" i="1"/>
  <c r="CT61" i="1"/>
  <c r="CV61" i="1" s="1"/>
  <c r="CD61" i="1"/>
  <c r="DC61" i="1"/>
  <c r="BV61" i="1"/>
  <c r="BU61" i="1"/>
  <c r="BD61" i="1"/>
  <c r="BC61" i="1"/>
  <c r="EG60" i="1"/>
  <c r="EF60" i="1"/>
  <c r="DF60" i="1"/>
  <c r="DE60" i="1"/>
  <c r="DB60" i="1"/>
  <c r="DA60" i="1"/>
  <c r="CX60" i="1"/>
  <c r="CW60" i="1"/>
  <c r="CU60" i="1"/>
  <c r="CT60" i="1"/>
  <c r="CE60" i="1"/>
  <c r="DD60" i="1"/>
  <c r="CD60" i="1"/>
  <c r="DC60" i="1"/>
  <c r="BV60" i="1"/>
  <c r="BU60" i="1"/>
  <c r="BD60" i="1"/>
  <c r="BC60" i="1"/>
  <c r="EG59" i="1"/>
  <c r="EF59" i="1"/>
  <c r="DF59" i="1"/>
  <c r="DE59" i="1"/>
  <c r="DB59" i="1"/>
  <c r="DA59" i="1"/>
  <c r="CX59" i="1"/>
  <c r="CW59" i="1"/>
  <c r="CU59" i="1"/>
  <c r="CT59" i="1"/>
  <c r="CV59" i="1" s="1"/>
  <c r="CE59" i="1"/>
  <c r="DD59" i="1"/>
  <c r="CD59" i="1"/>
  <c r="DC59" i="1"/>
  <c r="BV59" i="1"/>
  <c r="BU59" i="1"/>
  <c r="BD59" i="1"/>
  <c r="BC59" i="1"/>
  <c r="EG58" i="1"/>
  <c r="EF58" i="1"/>
  <c r="DF58" i="1"/>
  <c r="DE58" i="1"/>
  <c r="DB58" i="1"/>
  <c r="DA58" i="1"/>
  <c r="CX58" i="1"/>
  <c r="CW58" i="1"/>
  <c r="CU58" i="1"/>
  <c r="CT58" i="1"/>
  <c r="CV58" i="1" s="1"/>
  <c r="CE58" i="1"/>
  <c r="DD58" i="1"/>
  <c r="CD58" i="1"/>
  <c r="DC58" i="1"/>
  <c r="BV58" i="1"/>
  <c r="BU58" i="1"/>
  <c r="BD58" i="1"/>
  <c r="BC58" i="1"/>
  <c r="EG57" i="1"/>
  <c r="EF57" i="1"/>
  <c r="DF57" i="1"/>
  <c r="DE57" i="1"/>
  <c r="DB57" i="1"/>
  <c r="DA57" i="1"/>
  <c r="CX57" i="1"/>
  <c r="CW57" i="1"/>
  <c r="CU57" i="1"/>
  <c r="CT57" i="1"/>
  <c r="CV57" i="1" s="1"/>
  <c r="CE57" i="1"/>
  <c r="DD57" i="1"/>
  <c r="CD57" i="1"/>
  <c r="DC57" i="1"/>
  <c r="BV57" i="1"/>
  <c r="BU57" i="1"/>
  <c r="BW57" i="1" s="1"/>
  <c r="BD57" i="1"/>
  <c r="BC57" i="1"/>
  <c r="EG56" i="1"/>
  <c r="EF56" i="1"/>
  <c r="DF56" i="1"/>
  <c r="DE56" i="1"/>
  <c r="DB56" i="1"/>
  <c r="DA56" i="1"/>
  <c r="CX56" i="1"/>
  <c r="CW56" i="1"/>
  <c r="CU56" i="1"/>
  <c r="CT56" i="1"/>
  <c r="CE56" i="1"/>
  <c r="DD56" i="1"/>
  <c r="BV56" i="1"/>
  <c r="BU56" i="1"/>
  <c r="BD56" i="1"/>
  <c r="BC56" i="1"/>
  <c r="EF55" i="1"/>
  <c r="DF55" i="1"/>
  <c r="DE55" i="1"/>
  <c r="DB55" i="1"/>
  <c r="DA55" i="1"/>
  <c r="CX55" i="1"/>
  <c r="CW55" i="1"/>
  <c r="CU55" i="1"/>
  <c r="CT55" i="1"/>
  <c r="CV55" i="1" s="1"/>
  <c r="CE55" i="1"/>
  <c r="DD55" i="1"/>
  <c r="CD55" i="1"/>
  <c r="CY55" i="1"/>
  <c r="BV55" i="1"/>
  <c r="BU55" i="1"/>
  <c r="BD55" i="1"/>
  <c r="BC55" i="1"/>
  <c r="EG54" i="1"/>
  <c r="EF54" i="1"/>
  <c r="DF54" i="1"/>
  <c r="DE54" i="1"/>
  <c r="DB54" i="1"/>
  <c r="DA54" i="1"/>
  <c r="CX54" i="1"/>
  <c r="CW54" i="1"/>
  <c r="CU54" i="1"/>
  <c r="CT54" i="1"/>
  <c r="CV54" i="1" s="1"/>
  <c r="CE54" i="1"/>
  <c r="DD54" i="1"/>
  <c r="CD54" i="1"/>
  <c r="CY54" i="1"/>
  <c r="BV54" i="1"/>
  <c r="BU54" i="1"/>
  <c r="BD54" i="1"/>
  <c r="BC54" i="1"/>
  <c r="EG53" i="1"/>
  <c r="EF53" i="1"/>
  <c r="DF53" i="1"/>
  <c r="DE53" i="1"/>
  <c r="DB53" i="1"/>
  <c r="DA53" i="1"/>
  <c r="CX53" i="1"/>
  <c r="CW53" i="1"/>
  <c r="CU53" i="1"/>
  <c r="CT53" i="1"/>
  <c r="CV53" i="1" s="1"/>
  <c r="CE53" i="1"/>
  <c r="DD53" i="1"/>
  <c r="CD53" i="1"/>
  <c r="CY53" i="1"/>
  <c r="BV53" i="1"/>
  <c r="BU53" i="1"/>
  <c r="BD53" i="1"/>
  <c r="BC53" i="1"/>
  <c r="EG52" i="1"/>
  <c r="EF52" i="1"/>
  <c r="DF52" i="1"/>
  <c r="DE52" i="1"/>
  <c r="DB52" i="1"/>
  <c r="DA52" i="1"/>
  <c r="CX52" i="1"/>
  <c r="CW52" i="1"/>
  <c r="CU52" i="1"/>
  <c r="CT52" i="1"/>
  <c r="CV52" i="1"/>
  <c r="CE52" i="1"/>
  <c r="DD52" i="1"/>
  <c r="CD52" i="1"/>
  <c r="CY52" i="1"/>
  <c r="BV52" i="1"/>
  <c r="BU52" i="1"/>
  <c r="BD52" i="1"/>
  <c r="BC52" i="1"/>
  <c r="EG51" i="1"/>
  <c r="EF51" i="1"/>
  <c r="DF51" i="1"/>
  <c r="DE51" i="1"/>
  <c r="DB51" i="1"/>
  <c r="DA51" i="1"/>
  <c r="CX51" i="1"/>
  <c r="CW51" i="1"/>
  <c r="CU51" i="1"/>
  <c r="CT51" i="1"/>
  <c r="CV51" i="1" s="1"/>
  <c r="CE51" i="1"/>
  <c r="DD51" i="1"/>
  <c r="CD51" i="1"/>
  <c r="CY51" i="1"/>
  <c r="BV51" i="1"/>
  <c r="BU51" i="1"/>
  <c r="BD51" i="1"/>
  <c r="BC51" i="1"/>
  <c r="EG50" i="1"/>
  <c r="EF50" i="1"/>
  <c r="DF50" i="1"/>
  <c r="DE50" i="1"/>
  <c r="DB50" i="1"/>
  <c r="DA50" i="1"/>
  <c r="CX50" i="1"/>
  <c r="CW50" i="1"/>
  <c r="CU50" i="1"/>
  <c r="CT50" i="1"/>
  <c r="CV50" i="1" s="1"/>
  <c r="CE50" i="1"/>
  <c r="DD50" i="1"/>
  <c r="CD50" i="1"/>
  <c r="CY50" i="1"/>
  <c r="BV50" i="1"/>
  <c r="BU50" i="1"/>
  <c r="BD50" i="1"/>
  <c r="BC50" i="1"/>
  <c r="BE50" i="1" s="1"/>
  <c r="EG49" i="1"/>
  <c r="EF49" i="1"/>
  <c r="DF49" i="1"/>
  <c r="DE49" i="1"/>
  <c r="DB49" i="1"/>
  <c r="DA49" i="1"/>
  <c r="CX49" i="1"/>
  <c r="CW49" i="1"/>
  <c r="CU49" i="1"/>
  <c r="CT49" i="1"/>
  <c r="CV49" i="1" s="1"/>
  <c r="CE49" i="1"/>
  <c r="DD49" i="1"/>
  <c r="CD49" i="1"/>
  <c r="DC49" i="1"/>
  <c r="BV49" i="1"/>
  <c r="BU49" i="1"/>
  <c r="BD49" i="1"/>
  <c r="BC49" i="1"/>
  <c r="BE49" i="1" s="1"/>
  <c r="EG48" i="1"/>
  <c r="EF48" i="1"/>
  <c r="DF48" i="1"/>
  <c r="DE48" i="1"/>
  <c r="DB48" i="1"/>
  <c r="DA48" i="1"/>
  <c r="CX48" i="1"/>
  <c r="CW48" i="1"/>
  <c r="CU48" i="1"/>
  <c r="CT48" i="1"/>
  <c r="CV48" i="1"/>
  <c r="CE48" i="1"/>
  <c r="DD48" i="1"/>
  <c r="CD48" i="1"/>
  <c r="CY48" i="1"/>
  <c r="BV48" i="1"/>
  <c r="BU48" i="1"/>
  <c r="BD48" i="1"/>
  <c r="BC48" i="1"/>
  <c r="BE48" i="1" s="1"/>
  <c r="EG47" i="1"/>
  <c r="EF47" i="1"/>
  <c r="DF47" i="1"/>
  <c r="DE47" i="1"/>
  <c r="DB47" i="1"/>
  <c r="DA47" i="1"/>
  <c r="CX47" i="1"/>
  <c r="CW47" i="1"/>
  <c r="CU47" i="1"/>
  <c r="CT47" i="1"/>
  <c r="CV47" i="1" s="1"/>
  <c r="CE47" i="1"/>
  <c r="DD47" i="1"/>
  <c r="CD47" i="1"/>
  <c r="CY47" i="1"/>
  <c r="BV47" i="1"/>
  <c r="BU47" i="1"/>
  <c r="BD47" i="1"/>
  <c r="BC47" i="1"/>
  <c r="EG46" i="1"/>
  <c r="EF46" i="1"/>
  <c r="DF46" i="1"/>
  <c r="DE46" i="1"/>
  <c r="DB46" i="1"/>
  <c r="DA46" i="1"/>
  <c r="CX46" i="1"/>
  <c r="CW46" i="1"/>
  <c r="CU46" i="1"/>
  <c r="CT46" i="1"/>
  <c r="CV46" i="1" s="1"/>
  <c r="CE46" i="1"/>
  <c r="DD46" i="1"/>
  <c r="CD46" i="1"/>
  <c r="CY46" i="1"/>
  <c r="BV46" i="1"/>
  <c r="BU46" i="1"/>
  <c r="BD46" i="1"/>
  <c r="BC46" i="1"/>
  <c r="BE46" i="1" s="1"/>
  <c r="EG45" i="1"/>
  <c r="EF45" i="1"/>
  <c r="DF45" i="1"/>
  <c r="DE45" i="1"/>
  <c r="DB45" i="1"/>
  <c r="DA45" i="1"/>
  <c r="CX45" i="1"/>
  <c r="CW45" i="1"/>
  <c r="CU45" i="1"/>
  <c r="CT45" i="1"/>
  <c r="CV45" i="1" s="1"/>
  <c r="CE45" i="1"/>
  <c r="DD45" i="1"/>
  <c r="CD45" i="1"/>
  <c r="CY45" i="1"/>
  <c r="BV45" i="1"/>
  <c r="BU45" i="1"/>
  <c r="BD45" i="1"/>
  <c r="BC45" i="1"/>
  <c r="BE45" i="1" s="1"/>
  <c r="EG44" i="1"/>
  <c r="EF44" i="1"/>
  <c r="DF44" i="1"/>
  <c r="DE44" i="1"/>
  <c r="DB44" i="1"/>
  <c r="DA44" i="1"/>
  <c r="CX44" i="1"/>
  <c r="CW44" i="1"/>
  <c r="CU44" i="1"/>
  <c r="CT44" i="1"/>
  <c r="CV44" i="1"/>
  <c r="CE44" i="1"/>
  <c r="DD44" i="1"/>
  <c r="CD44" i="1"/>
  <c r="CY44" i="1"/>
  <c r="BV44" i="1"/>
  <c r="BU44" i="1"/>
  <c r="BD44" i="1"/>
  <c r="BC44" i="1"/>
  <c r="BE44" i="1" s="1"/>
  <c r="EG43" i="1"/>
  <c r="EF43" i="1"/>
  <c r="DF43" i="1"/>
  <c r="DE43" i="1"/>
  <c r="DB43" i="1"/>
  <c r="DA43" i="1"/>
  <c r="CX43" i="1"/>
  <c r="CW43" i="1"/>
  <c r="CU43" i="1"/>
  <c r="CT43" i="1"/>
  <c r="CV43" i="1" s="1"/>
  <c r="BV43" i="1"/>
  <c r="BU43" i="1"/>
  <c r="BW43" i="1" s="1"/>
  <c r="BD43" i="1"/>
  <c r="BC43" i="1"/>
  <c r="EG42" i="1"/>
  <c r="EF42" i="1"/>
  <c r="DF42" i="1"/>
  <c r="DE42" i="1"/>
  <c r="DB42" i="1"/>
  <c r="DA42" i="1"/>
  <c r="CX42" i="1"/>
  <c r="CW42" i="1"/>
  <c r="CU42" i="1"/>
  <c r="CT42" i="1"/>
  <c r="CV42" i="1" s="1"/>
  <c r="CE42" i="1"/>
  <c r="DD42" i="1"/>
  <c r="CD42" i="1"/>
  <c r="DC42" i="1"/>
  <c r="BV42" i="1"/>
  <c r="BU42" i="1"/>
  <c r="BW42" i="1" s="1"/>
  <c r="BD42" i="1"/>
  <c r="BC42" i="1"/>
  <c r="EG41" i="1"/>
  <c r="EF41" i="1"/>
  <c r="DF41" i="1"/>
  <c r="DE41" i="1"/>
  <c r="DB41" i="1"/>
  <c r="DA41" i="1"/>
  <c r="CX41" i="1"/>
  <c r="CW41" i="1"/>
  <c r="CU41" i="1"/>
  <c r="CT41" i="1"/>
  <c r="CV41" i="1" s="1"/>
  <c r="CE41" i="1"/>
  <c r="CZ41" i="1"/>
  <c r="CD41" i="1"/>
  <c r="DC41" i="1"/>
  <c r="BV41" i="1"/>
  <c r="BU41" i="1"/>
  <c r="BW41" i="1" s="1"/>
  <c r="BD41" i="1"/>
  <c r="BC41" i="1"/>
  <c r="EG40" i="1"/>
  <c r="EF40" i="1"/>
  <c r="DF40" i="1"/>
  <c r="DE40" i="1"/>
  <c r="DB40" i="1"/>
  <c r="DA40" i="1"/>
  <c r="CX40" i="1"/>
  <c r="CW40" i="1"/>
  <c r="CU40" i="1"/>
  <c r="CT40" i="1"/>
  <c r="CE40" i="1"/>
  <c r="DD40" i="1"/>
  <c r="CD40" i="1"/>
  <c r="DC40" i="1"/>
  <c r="BV40" i="1"/>
  <c r="BD40" i="1"/>
  <c r="BE40" i="1"/>
  <c r="EG39" i="1"/>
  <c r="EF39" i="1"/>
  <c r="DF39" i="1"/>
  <c r="DE39" i="1"/>
  <c r="DB39" i="1"/>
  <c r="DA39" i="1"/>
  <c r="CX39" i="1"/>
  <c r="CW39" i="1"/>
  <c r="CU39" i="1"/>
  <c r="CT39" i="1"/>
  <c r="CV39" i="1" s="1"/>
  <c r="CE39" i="1"/>
  <c r="DD39" i="1"/>
  <c r="CD39" i="1"/>
  <c r="CY39" i="1"/>
  <c r="BV39" i="1"/>
  <c r="BU39" i="1"/>
  <c r="BD39" i="1"/>
  <c r="BC39" i="1"/>
  <c r="EG38" i="1"/>
  <c r="EF38" i="1"/>
  <c r="DF38" i="1"/>
  <c r="DE38" i="1"/>
  <c r="DB38" i="1"/>
  <c r="DA38" i="1"/>
  <c r="CX38" i="1"/>
  <c r="CW38" i="1"/>
  <c r="CU38" i="1"/>
  <c r="CT38" i="1"/>
  <c r="CV38" i="1" s="1"/>
  <c r="CE38" i="1"/>
  <c r="DD38" i="1"/>
  <c r="CD38" i="1"/>
  <c r="CY38" i="1"/>
  <c r="BV38" i="1"/>
  <c r="BU38" i="1"/>
  <c r="BD38" i="1"/>
  <c r="BC38" i="1"/>
  <c r="EG37" i="1"/>
  <c r="EF37" i="1"/>
  <c r="DF37" i="1"/>
  <c r="DE37" i="1"/>
  <c r="DB37" i="1"/>
  <c r="DA37" i="1"/>
  <c r="CX37" i="1"/>
  <c r="CW37" i="1"/>
  <c r="CU37" i="1"/>
  <c r="CT37" i="1"/>
  <c r="CV37" i="1" s="1"/>
  <c r="CE37" i="1"/>
  <c r="DD37" i="1"/>
  <c r="CD37" i="1"/>
  <c r="CY37" i="1"/>
  <c r="BV37" i="1"/>
  <c r="BU37" i="1"/>
  <c r="BD37" i="1"/>
  <c r="BC37" i="1"/>
  <c r="BE37" i="1" s="1"/>
  <c r="EG36" i="1"/>
  <c r="EF36" i="1"/>
  <c r="DF36" i="1"/>
  <c r="DE36" i="1"/>
  <c r="DB36" i="1"/>
  <c r="DA36" i="1"/>
  <c r="CX36" i="1"/>
  <c r="CW36" i="1"/>
  <c r="CU36" i="1"/>
  <c r="CT36" i="1"/>
  <c r="CV36" i="1"/>
  <c r="CE36" i="1"/>
  <c r="DD36" i="1"/>
  <c r="CD36" i="1"/>
  <c r="CY36" i="1"/>
  <c r="BV36" i="1"/>
  <c r="BU36" i="1"/>
  <c r="BD36" i="1"/>
  <c r="BC36" i="1"/>
  <c r="EG35" i="1"/>
  <c r="EF35" i="1"/>
  <c r="DF35" i="1"/>
  <c r="DE35" i="1"/>
  <c r="DB35" i="1"/>
  <c r="DA35" i="1"/>
  <c r="CX35" i="1"/>
  <c r="CW35" i="1"/>
  <c r="CU35" i="1"/>
  <c r="CT35" i="1"/>
  <c r="CV35" i="1" s="1"/>
  <c r="CE35" i="1"/>
  <c r="DD35" i="1"/>
  <c r="CD35" i="1"/>
  <c r="CY35" i="1"/>
  <c r="BV35" i="1"/>
  <c r="BU35" i="1"/>
  <c r="BD35" i="1"/>
  <c r="BC35" i="1"/>
  <c r="EG34" i="1"/>
  <c r="EF34" i="1"/>
  <c r="DF34" i="1"/>
  <c r="DE34" i="1"/>
  <c r="DB34" i="1"/>
  <c r="DA34" i="1"/>
  <c r="CX34" i="1"/>
  <c r="CW34" i="1"/>
  <c r="CU34" i="1"/>
  <c r="CT34" i="1"/>
  <c r="CV34" i="1" s="1"/>
  <c r="CE34" i="1"/>
  <c r="DD34" i="1"/>
  <c r="CD34" i="1"/>
  <c r="DC34" i="1"/>
  <c r="BV34" i="1"/>
  <c r="BU34" i="1"/>
  <c r="BD34" i="1"/>
  <c r="BC34" i="1"/>
  <c r="EG33" i="1"/>
  <c r="EF33" i="1"/>
  <c r="DF33" i="1"/>
  <c r="DE33" i="1"/>
  <c r="DB33" i="1"/>
  <c r="DA33" i="1"/>
  <c r="CX33" i="1"/>
  <c r="CW33" i="1"/>
  <c r="CU33" i="1"/>
  <c r="CT33" i="1"/>
  <c r="CV33" i="1" s="1"/>
  <c r="CE33" i="1"/>
  <c r="DD33" i="1"/>
  <c r="CD33" i="1"/>
  <c r="CY33" i="1"/>
  <c r="BV33" i="1"/>
  <c r="BU33" i="1"/>
  <c r="BD33" i="1"/>
  <c r="BC33" i="1"/>
  <c r="EG32" i="1"/>
  <c r="EF32" i="1"/>
  <c r="DF32" i="1"/>
  <c r="DE32" i="1"/>
  <c r="DB32" i="1"/>
  <c r="DA32" i="1"/>
  <c r="CX32" i="1"/>
  <c r="CW32" i="1"/>
  <c r="CU32" i="1"/>
  <c r="CT32" i="1"/>
  <c r="CV32" i="1"/>
  <c r="CE32" i="1"/>
  <c r="DD32" i="1"/>
  <c r="CD32" i="1"/>
  <c r="CY32" i="1"/>
  <c r="BV32" i="1"/>
  <c r="BU32" i="1"/>
  <c r="BD32" i="1"/>
  <c r="BC32" i="1"/>
  <c r="BE32" i="1" s="1"/>
  <c r="EG31" i="1"/>
  <c r="EF31" i="1"/>
  <c r="DF31" i="1"/>
  <c r="DE31" i="1"/>
  <c r="DB31" i="1"/>
  <c r="DA31" i="1"/>
  <c r="CX31" i="1"/>
  <c r="CW31" i="1"/>
  <c r="CU31" i="1"/>
  <c r="CT31" i="1"/>
  <c r="CV31" i="1" s="1"/>
  <c r="CD31" i="1"/>
  <c r="DC31" i="1"/>
  <c r="BV31" i="1"/>
  <c r="BU31" i="1"/>
  <c r="BW31" i="1" s="1"/>
  <c r="BD31" i="1"/>
  <c r="BC31" i="1"/>
  <c r="BE31" i="1" s="1"/>
  <c r="EG30" i="1"/>
  <c r="EF30" i="1"/>
  <c r="DF30" i="1"/>
  <c r="DE30" i="1"/>
  <c r="DB30" i="1"/>
  <c r="DA30" i="1"/>
  <c r="CX30" i="1"/>
  <c r="CW30" i="1"/>
  <c r="CU30" i="1"/>
  <c r="CT30" i="1"/>
  <c r="CV30" i="1" s="1"/>
  <c r="CE30" i="1"/>
  <c r="DD30" i="1"/>
  <c r="CD30" i="1"/>
  <c r="CY30" i="1"/>
  <c r="BV30" i="1"/>
  <c r="BU30" i="1"/>
  <c r="BD30" i="1"/>
  <c r="BC30" i="1"/>
  <c r="BE30" i="1" s="1"/>
  <c r="EG29" i="1"/>
  <c r="EF29" i="1"/>
  <c r="DF29" i="1"/>
  <c r="DE29" i="1"/>
  <c r="DB29" i="1"/>
  <c r="DA29" i="1"/>
  <c r="CX29" i="1"/>
  <c r="CW29" i="1"/>
  <c r="CU29" i="1"/>
  <c r="CT29" i="1"/>
  <c r="CV29" i="1" s="1"/>
  <c r="CE29" i="1"/>
  <c r="DD29" i="1"/>
  <c r="CD29" i="1"/>
  <c r="CY29" i="1"/>
  <c r="BV29" i="1"/>
  <c r="BU29" i="1"/>
  <c r="BD29" i="1"/>
  <c r="BC29" i="1"/>
  <c r="BE29" i="1" s="1"/>
  <c r="EG28" i="1"/>
  <c r="EF28" i="1"/>
  <c r="DF28" i="1"/>
  <c r="DE28" i="1"/>
  <c r="DB28" i="1"/>
  <c r="DA28" i="1"/>
  <c r="CX28" i="1"/>
  <c r="CW28" i="1"/>
  <c r="CU28" i="1"/>
  <c r="CT28" i="1"/>
  <c r="CE28" i="1"/>
  <c r="DD28" i="1"/>
  <c r="CD28" i="1"/>
  <c r="CY28" i="1"/>
  <c r="BV28" i="1"/>
  <c r="BU28" i="1"/>
  <c r="BW28" i="1" s="1"/>
  <c r="BD28" i="1"/>
  <c r="BC28" i="1"/>
  <c r="EG27" i="1"/>
  <c r="EF27" i="1"/>
  <c r="DF27" i="1"/>
  <c r="DE27" i="1"/>
  <c r="DB27" i="1"/>
  <c r="DA27" i="1"/>
  <c r="CX27" i="1"/>
  <c r="CW27" i="1"/>
  <c r="CU27" i="1"/>
  <c r="CT27" i="1"/>
  <c r="CV27" i="1" s="1"/>
  <c r="CE27" i="1"/>
  <c r="DD27" i="1"/>
  <c r="CD27" i="1"/>
  <c r="CY27" i="1"/>
  <c r="BV27" i="1"/>
  <c r="BU27" i="1"/>
  <c r="BD27" i="1"/>
  <c r="BC27" i="1"/>
  <c r="BE27" i="1" s="1"/>
  <c r="EG26" i="1"/>
  <c r="EF26" i="1"/>
  <c r="DF26" i="1"/>
  <c r="DE26" i="1"/>
  <c r="DB26" i="1"/>
  <c r="DA26" i="1"/>
  <c r="CX26" i="1"/>
  <c r="CW26" i="1"/>
  <c r="CU26" i="1"/>
  <c r="CT26" i="1"/>
  <c r="CV26" i="1" s="1"/>
  <c r="CE26" i="1"/>
  <c r="DD26" i="1"/>
  <c r="CD26" i="1"/>
  <c r="CY26" i="1"/>
  <c r="BV26" i="1"/>
  <c r="BU26" i="1"/>
  <c r="BD26" i="1"/>
  <c r="BC26" i="1"/>
  <c r="BE26" i="1" s="1"/>
  <c r="EG25" i="1"/>
  <c r="EF25" i="1"/>
  <c r="DF25" i="1"/>
  <c r="DE25" i="1"/>
  <c r="DB25" i="1"/>
  <c r="DA25" i="1"/>
  <c r="CX25" i="1"/>
  <c r="CW25" i="1"/>
  <c r="CU25" i="1"/>
  <c r="CT25" i="1"/>
  <c r="CV25" i="1" s="1"/>
  <c r="CE25" i="1"/>
  <c r="DD25" i="1"/>
  <c r="CD25" i="1"/>
  <c r="CY25" i="1"/>
  <c r="BV25" i="1"/>
  <c r="BU25" i="1"/>
  <c r="BW25" i="1" s="1"/>
  <c r="BD25" i="1"/>
  <c r="BC25" i="1"/>
  <c r="BE25" i="1" s="1"/>
  <c r="EG24" i="1"/>
  <c r="EF24" i="1"/>
  <c r="DF24" i="1"/>
  <c r="DE24" i="1"/>
  <c r="DB24" i="1"/>
  <c r="DA24" i="1"/>
  <c r="CX24" i="1"/>
  <c r="CW24" i="1"/>
  <c r="CU24" i="1"/>
  <c r="CT24" i="1"/>
  <c r="CE24" i="1"/>
  <c r="DD24" i="1"/>
  <c r="CD24" i="1"/>
  <c r="CY24" i="1"/>
  <c r="BV24" i="1"/>
  <c r="BU24" i="1"/>
  <c r="BW24" i="1" s="1"/>
  <c r="BD24" i="1"/>
  <c r="BC24" i="1"/>
  <c r="EG23" i="1"/>
  <c r="EF23" i="1"/>
  <c r="DF23" i="1"/>
  <c r="DE23" i="1"/>
  <c r="DB23" i="1"/>
  <c r="DA23" i="1"/>
  <c r="CX23" i="1"/>
  <c r="CW23" i="1"/>
  <c r="CU23" i="1"/>
  <c r="CT23" i="1"/>
  <c r="CV23" i="1" s="1"/>
  <c r="CE23" i="1"/>
  <c r="DD23" i="1"/>
  <c r="CD23" i="1"/>
  <c r="CY23" i="1"/>
  <c r="BV23" i="1"/>
  <c r="BU23" i="1"/>
  <c r="BW23" i="1" s="1"/>
  <c r="BD23" i="1"/>
  <c r="BC23" i="1"/>
  <c r="BE23" i="1" s="1"/>
  <c r="EG22" i="1"/>
  <c r="EF22" i="1"/>
  <c r="DF22" i="1"/>
  <c r="DE22" i="1"/>
  <c r="DB22" i="1"/>
  <c r="DA22" i="1"/>
  <c r="CX22" i="1"/>
  <c r="CW22" i="1"/>
  <c r="CU22" i="1"/>
  <c r="CT22" i="1"/>
  <c r="CV22" i="1" s="1"/>
  <c r="CE22" i="1"/>
  <c r="DD22" i="1"/>
  <c r="CD22" i="1"/>
  <c r="CY22" i="1"/>
  <c r="BV22" i="1"/>
  <c r="BU22" i="1"/>
  <c r="BD22" i="1"/>
  <c r="BC22" i="1"/>
  <c r="EG21" i="1"/>
  <c r="EF21" i="1"/>
  <c r="DF21" i="1"/>
  <c r="DE21" i="1"/>
  <c r="DB21" i="1"/>
  <c r="DA21" i="1"/>
  <c r="CX21" i="1"/>
  <c r="CW21" i="1"/>
  <c r="CU21" i="1"/>
  <c r="CT21" i="1"/>
  <c r="CV21" i="1" s="1"/>
  <c r="CE21" i="1"/>
  <c r="DD21" i="1"/>
  <c r="CD21" i="1"/>
  <c r="CY21" i="1"/>
  <c r="BV21" i="1"/>
  <c r="BU21" i="1"/>
  <c r="BW21" i="1" s="1"/>
  <c r="BD21" i="1"/>
  <c r="BC21" i="1"/>
  <c r="BE21" i="1" s="1"/>
  <c r="EG20" i="1"/>
  <c r="EF20" i="1"/>
  <c r="DF20" i="1"/>
  <c r="DE20" i="1"/>
  <c r="DB20" i="1"/>
  <c r="DA20" i="1"/>
  <c r="CX20" i="1"/>
  <c r="CW20" i="1"/>
  <c r="CU20" i="1"/>
  <c r="CT20" i="1"/>
  <c r="CE20" i="1"/>
  <c r="DD20" i="1"/>
  <c r="CD20" i="1"/>
  <c r="CY20" i="1"/>
  <c r="BV20" i="1"/>
  <c r="BU20" i="1"/>
  <c r="BW20" i="1" s="1"/>
  <c r="BD20" i="1"/>
  <c r="BC20" i="1"/>
  <c r="EG19" i="1"/>
  <c r="EF19" i="1"/>
  <c r="DF19" i="1"/>
  <c r="DE19" i="1"/>
  <c r="DB19" i="1"/>
  <c r="DA19" i="1"/>
  <c r="CX19" i="1"/>
  <c r="CW19" i="1"/>
  <c r="CU19" i="1"/>
  <c r="CT19" i="1"/>
  <c r="CV19" i="1" s="1"/>
  <c r="CE19" i="1"/>
  <c r="DD19" i="1"/>
  <c r="CD19" i="1"/>
  <c r="DC19" i="1"/>
  <c r="BV19" i="1"/>
  <c r="BU19" i="1"/>
  <c r="BW19" i="1" s="1"/>
  <c r="BD19" i="1"/>
  <c r="BC19" i="1"/>
  <c r="EG18" i="1"/>
  <c r="EF18" i="1"/>
  <c r="DF18" i="1"/>
  <c r="DE18" i="1"/>
  <c r="DB18" i="1"/>
  <c r="DA18" i="1"/>
  <c r="CX18" i="1"/>
  <c r="CW18" i="1"/>
  <c r="CU18" i="1"/>
  <c r="CT18" i="1"/>
  <c r="CV18" i="1" s="1"/>
  <c r="CE18" i="1"/>
  <c r="DD18" i="1"/>
  <c r="CD18" i="1"/>
  <c r="CY18" i="1"/>
  <c r="BV18" i="1"/>
  <c r="BU18" i="1"/>
  <c r="BW18" i="1" s="1"/>
  <c r="BD18" i="1"/>
  <c r="BC18" i="1"/>
  <c r="EG17" i="1"/>
  <c r="EF17" i="1"/>
  <c r="DF17" i="1"/>
  <c r="DE17" i="1"/>
  <c r="DB17" i="1"/>
  <c r="DA17" i="1"/>
  <c r="CX17" i="1"/>
  <c r="CW17" i="1"/>
  <c r="CU17" i="1"/>
  <c r="CT17" i="1"/>
  <c r="CV17" i="1" s="1"/>
  <c r="CE17" i="1"/>
  <c r="DD17" i="1"/>
  <c r="CD17" i="1"/>
  <c r="DC17" i="1"/>
  <c r="BV17" i="1"/>
  <c r="BU17" i="1"/>
  <c r="BW17" i="1" s="1"/>
  <c r="BD17" i="1"/>
  <c r="BC17" i="1"/>
  <c r="EG16" i="1"/>
  <c r="EF16" i="1"/>
  <c r="DF16" i="1"/>
  <c r="DE16" i="1"/>
  <c r="DB16" i="1"/>
  <c r="DA16" i="1"/>
  <c r="CX16" i="1"/>
  <c r="CW16" i="1"/>
  <c r="CU16" i="1"/>
  <c r="CT16" i="1"/>
  <c r="CE16" i="1"/>
  <c r="DD16" i="1"/>
  <c r="CD16" i="1"/>
  <c r="CY16" i="1"/>
  <c r="BV16" i="1"/>
  <c r="BU16" i="1"/>
  <c r="BW16" i="1" s="1"/>
  <c r="BD16" i="1"/>
  <c r="BC16" i="1"/>
  <c r="EG15" i="1"/>
  <c r="EF15" i="1"/>
  <c r="DF15" i="1"/>
  <c r="DE15" i="1"/>
  <c r="DB15" i="1"/>
  <c r="DA15" i="1"/>
  <c r="CX15" i="1"/>
  <c r="CW15" i="1"/>
  <c r="CU15" i="1"/>
  <c r="CT15" i="1"/>
  <c r="CV15" i="1" s="1"/>
  <c r="CE15" i="1"/>
  <c r="DD15" i="1"/>
  <c r="CD15" i="1"/>
  <c r="DC15" i="1"/>
  <c r="BV15" i="1"/>
  <c r="BU15" i="1"/>
  <c r="BW15" i="1" s="1"/>
  <c r="BD15" i="1"/>
  <c r="BC15" i="1"/>
  <c r="EG14" i="1"/>
  <c r="EF14" i="1"/>
  <c r="DF14" i="1"/>
  <c r="DE14" i="1"/>
  <c r="DB14" i="1"/>
  <c r="DA14" i="1"/>
  <c r="CX14" i="1"/>
  <c r="CW14" i="1"/>
  <c r="CU14" i="1"/>
  <c r="CT14" i="1"/>
  <c r="CV14" i="1" s="1"/>
  <c r="CE14" i="1"/>
  <c r="DD14" i="1"/>
  <c r="CD14" i="1"/>
  <c r="CY14" i="1"/>
  <c r="BV14" i="1"/>
  <c r="BU14" i="1"/>
  <c r="BW14" i="1" s="1"/>
  <c r="BD14" i="1"/>
  <c r="BC14" i="1"/>
  <c r="EG13" i="1"/>
  <c r="EF13" i="1"/>
  <c r="DF13" i="1"/>
  <c r="DE13" i="1"/>
  <c r="DB13" i="1"/>
  <c r="DA13" i="1"/>
  <c r="CX13" i="1"/>
  <c r="CW13" i="1"/>
  <c r="CU13" i="1"/>
  <c r="CT13" i="1"/>
  <c r="CV13" i="1" s="1"/>
  <c r="CE13" i="1"/>
  <c r="DD13" i="1"/>
  <c r="CD13" i="1"/>
  <c r="DC13" i="1"/>
  <c r="BV13" i="1"/>
  <c r="BU13" i="1"/>
  <c r="BW13" i="1" s="1"/>
  <c r="BD13" i="1"/>
  <c r="BC13" i="1"/>
  <c r="EG12" i="1"/>
  <c r="EF12" i="1"/>
  <c r="DF12" i="1"/>
  <c r="DE12" i="1"/>
  <c r="DB12" i="1"/>
  <c r="DA12" i="1"/>
  <c r="CX12" i="1"/>
  <c r="CW12" i="1"/>
  <c r="CU12" i="1"/>
  <c r="CT12" i="1"/>
  <c r="CE12" i="1"/>
  <c r="DD12" i="1"/>
  <c r="CD12" i="1"/>
  <c r="CY12" i="1"/>
  <c r="BV12" i="1"/>
  <c r="BU12" i="1"/>
  <c r="BW12" i="1" s="1"/>
  <c r="BD12" i="1"/>
  <c r="BC12" i="1"/>
  <c r="EG11" i="1"/>
  <c r="EF11" i="1"/>
  <c r="DF11" i="1"/>
  <c r="DE11" i="1"/>
  <c r="DB11" i="1"/>
  <c r="DA11" i="1"/>
  <c r="CX11" i="1"/>
  <c r="CW11" i="1"/>
  <c r="CU11" i="1"/>
  <c r="CT11" i="1"/>
  <c r="CV11" i="1" s="1"/>
  <c r="CE11" i="1"/>
  <c r="DD11" i="1"/>
  <c r="CD11" i="1"/>
  <c r="DC11" i="1"/>
  <c r="BV11" i="1"/>
  <c r="BU11" i="1"/>
  <c r="BW11" i="1" s="1"/>
  <c r="BD11" i="1"/>
  <c r="BC11" i="1"/>
  <c r="EG10" i="1"/>
  <c r="EF10" i="1"/>
  <c r="DF10" i="1"/>
  <c r="DE10" i="1"/>
  <c r="DB10" i="1"/>
  <c r="DA10" i="1"/>
  <c r="CX10" i="1"/>
  <c r="CW10" i="1"/>
  <c r="CU10" i="1"/>
  <c r="CT10" i="1"/>
  <c r="CV10" i="1" s="1"/>
  <c r="CE10" i="1"/>
  <c r="DD10" i="1"/>
  <c r="CD10" i="1"/>
  <c r="CY10" i="1"/>
  <c r="BV10" i="1"/>
  <c r="BU10" i="1"/>
  <c r="BW10" i="1" s="1"/>
  <c r="BD10" i="1"/>
  <c r="BC10" i="1"/>
  <c r="EG9" i="1"/>
  <c r="EF9" i="1"/>
  <c r="DF9" i="1"/>
  <c r="DE9" i="1"/>
  <c r="DB9" i="1"/>
  <c r="DA9" i="1"/>
  <c r="CX9" i="1"/>
  <c r="CW9" i="1"/>
  <c r="CU9" i="1"/>
  <c r="CT9" i="1"/>
  <c r="CV9" i="1" s="1"/>
  <c r="CE9" i="1"/>
  <c r="DD9" i="1"/>
  <c r="CD9" i="1"/>
  <c r="DC9" i="1"/>
  <c r="BV9" i="1"/>
  <c r="BU9" i="1"/>
  <c r="BW9" i="1" s="1"/>
  <c r="BD9" i="1"/>
  <c r="BC9" i="1"/>
  <c r="EG8" i="1"/>
  <c r="EF8" i="1"/>
  <c r="DF8" i="1"/>
  <c r="DE8" i="1"/>
  <c r="DB8" i="1"/>
  <c r="DA8" i="1"/>
  <c r="CX8" i="1"/>
  <c r="CW8" i="1"/>
  <c r="CU8" i="1"/>
  <c r="CT8" i="1"/>
  <c r="CE8" i="1"/>
  <c r="DD8" i="1"/>
  <c r="CD8" i="1"/>
  <c r="CY8" i="1"/>
  <c r="BV8" i="1"/>
  <c r="BU8" i="1"/>
  <c r="BW8" i="1" s="1"/>
  <c r="BD8" i="1"/>
  <c r="BC8" i="1"/>
  <c r="EG7" i="1"/>
  <c r="EF7" i="1"/>
  <c r="DF7" i="1"/>
  <c r="DE7" i="1"/>
  <c r="DB7" i="1"/>
  <c r="DA7" i="1"/>
  <c r="CX7" i="1"/>
  <c r="CW7" i="1"/>
  <c r="CU7" i="1"/>
  <c r="CT7" i="1"/>
  <c r="CV7" i="1" s="1"/>
  <c r="CE7" i="1"/>
  <c r="DD7" i="1"/>
  <c r="CD7" i="1"/>
  <c r="DC7" i="1"/>
  <c r="BV7" i="1"/>
  <c r="BU7" i="1"/>
  <c r="BW7" i="1" s="1"/>
  <c r="BD7" i="1"/>
  <c r="BC7" i="1"/>
  <c r="EG6" i="1"/>
  <c r="EF6" i="1"/>
  <c r="DF6" i="1"/>
  <c r="DE6" i="1"/>
  <c r="DB6" i="1"/>
  <c r="DA6" i="1"/>
  <c r="CX6" i="1"/>
  <c r="CW6" i="1"/>
  <c r="CU6" i="1"/>
  <c r="CT6" i="1"/>
  <c r="CV6" i="1" s="1"/>
  <c r="CE6" i="1"/>
  <c r="DD6" i="1"/>
  <c r="CD6" i="1"/>
  <c r="CY6" i="1"/>
  <c r="BV6" i="1"/>
  <c r="BU6" i="1"/>
  <c r="BW6" i="1" s="1"/>
  <c r="BD6" i="1"/>
  <c r="BC6" i="1"/>
  <c r="EG5" i="1"/>
  <c r="EF5" i="1"/>
  <c r="DF5" i="1"/>
  <c r="DE5" i="1"/>
  <c r="DB5" i="1"/>
  <c r="DA5" i="1"/>
  <c r="CX5" i="1"/>
  <c r="CW5" i="1"/>
  <c r="CU5" i="1"/>
  <c r="CT5" i="1"/>
  <c r="CV5" i="1" s="1"/>
  <c r="CE5" i="1"/>
  <c r="DD5" i="1"/>
  <c r="CD5" i="1"/>
  <c r="DC5" i="1"/>
  <c r="BV5" i="1"/>
  <c r="BU5" i="1"/>
  <c r="BW5" i="1" s="1"/>
  <c r="BD5" i="1"/>
  <c r="BC5" i="1"/>
  <c r="EG4" i="1"/>
  <c r="EF4" i="1"/>
  <c r="DF4" i="1"/>
  <c r="DE4" i="1"/>
  <c r="DB4" i="1"/>
  <c r="DA4" i="1"/>
  <c r="CX4" i="1"/>
  <c r="CW4" i="1"/>
  <c r="CU4" i="1"/>
  <c r="CT4" i="1"/>
  <c r="CE4" i="1"/>
  <c r="DD4" i="1"/>
  <c r="CD4" i="1"/>
  <c r="CY4" i="1"/>
  <c r="BV4" i="1"/>
  <c r="BU4" i="1"/>
  <c r="BW4" i="1" s="1"/>
  <c r="BD4" i="1"/>
  <c r="BC4" i="1"/>
  <c r="EG3" i="1"/>
  <c r="EF3" i="1"/>
  <c r="DF3" i="1"/>
  <c r="DE3" i="1"/>
  <c r="DB3" i="1"/>
  <c r="DA3" i="1"/>
  <c r="CX3" i="1"/>
  <c r="CW3" i="1"/>
  <c r="CU3" i="1"/>
  <c r="CT3" i="1"/>
  <c r="CV3" i="1" s="1"/>
  <c r="CE3" i="1"/>
  <c r="DD3" i="1"/>
  <c r="CD3" i="1"/>
  <c r="DC3" i="1"/>
  <c r="BV3" i="1"/>
  <c r="BU3" i="1"/>
  <c r="BW3" i="1" s="1"/>
  <c r="BD3" i="1"/>
  <c r="BC3" i="1"/>
  <c r="EG2" i="1"/>
  <c r="EF2" i="1"/>
  <c r="DF2" i="1"/>
  <c r="DE2" i="1"/>
  <c r="DB2" i="1"/>
  <c r="DA2" i="1"/>
  <c r="CX2" i="1"/>
  <c r="CW2" i="1"/>
  <c r="CU2" i="1"/>
  <c r="CT2" i="1"/>
  <c r="CV2" i="1" s="1"/>
  <c r="CE2" i="1"/>
  <c r="DD2" i="1"/>
  <c r="CD2" i="1"/>
  <c r="CY2" i="1"/>
  <c r="BV2" i="1"/>
  <c r="BU2" i="1"/>
  <c r="BW2" i="1" s="1"/>
  <c r="BD2" i="1"/>
  <c r="BC2" i="1"/>
  <c r="CF60" i="1"/>
  <c r="CF10" i="1"/>
  <c r="CF42" i="1"/>
  <c r="CF30" i="1"/>
  <c r="CF18" i="1"/>
  <c r="CF66" i="1"/>
  <c r="BE51" i="1"/>
  <c r="BW58" i="1"/>
  <c r="BW59" i="1"/>
  <c r="BW67" i="1"/>
  <c r="CZ68" i="1"/>
  <c r="CZ70" i="1"/>
  <c r="CF79" i="1"/>
  <c r="CF75" i="1"/>
  <c r="CF71" i="1"/>
  <c r="CF67" i="1"/>
  <c r="CF57" i="1"/>
  <c r="CF52" i="1"/>
  <c r="CF48" i="1"/>
  <c r="CF44" i="1"/>
  <c r="CF39" i="1"/>
  <c r="CF35" i="1"/>
  <c r="CF31" i="1"/>
  <c r="CF27" i="1"/>
  <c r="CF23" i="1"/>
  <c r="CF19" i="1"/>
  <c r="CF15" i="1"/>
  <c r="CF11" i="1"/>
  <c r="CF7" i="1"/>
  <c r="CF3" i="1"/>
  <c r="CF63" i="1"/>
  <c r="CF26" i="1"/>
  <c r="CF14" i="1"/>
  <c r="CF62" i="1"/>
  <c r="CY68" i="1"/>
  <c r="CF80" i="1"/>
  <c r="CF76" i="1"/>
  <c r="CF72" i="1"/>
  <c r="CF68" i="1"/>
  <c r="CF58" i="1"/>
  <c r="CF53" i="1"/>
  <c r="CF49" i="1"/>
  <c r="CF45" i="1"/>
  <c r="CF40" i="1"/>
  <c r="CF36" i="1"/>
  <c r="CF32" i="1"/>
  <c r="CF28" i="1"/>
  <c r="CF24" i="1"/>
  <c r="CF20" i="1"/>
  <c r="CF16" i="1"/>
  <c r="CF12" i="1"/>
  <c r="CF8" i="1"/>
  <c r="CF4" i="1"/>
  <c r="CF64" i="1"/>
  <c r="DD69" i="1"/>
  <c r="CF22" i="1"/>
  <c r="CF6" i="1"/>
  <c r="BW33" i="1"/>
  <c r="BW34" i="1"/>
  <c r="BW35" i="1"/>
  <c r="BW36" i="1"/>
  <c r="BW37" i="1"/>
  <c r="BW38" i="1"/>
  <c r="BE57" i="1"/>
  <c r="BE58" i="1"/>
  <c r="BE59" i="1"/>
  <c r="BE60" i="1"/>
  <c r="BE61" i="1"/>
  <c r="CY61" i="1"/>
  <c r="BE62" i="1"/>
  <c r="BE63" i="1"/>
  <c r="BE64" i="1"/>
  <c r="BE65" i="1"/>
  <c r="BE68" i="1"/>
  <c r="CZ69" i="1"/>
  <c r="BW71" i="1"/>
  <c r="BW72" i="1"/>
  <c r="BW73" i="1"/>
  <c r="CF2" i="1"/>
  <c r="CF77" i="1"/>
  <c r="CF73" i="1"/>
  <c r="CF59" i="1"/>
  <c r="CF54" i="1"/>
  <c r="CF50" i="1"/>
  <c r="CF46" i="1"/>
  <c r="CF41" i="1"/>
  <c r="CF37" i="1"/>
  <c r="CF33" i="1"/>
  <c r="CF29" i="1"/>
  <c r="CF25" i="1"/>
  <c r="CF21" i="1"/>
  <c r="CF17" i="1"/>
  <c r="CF13" i="1"/>
  <c r="CF9" i="1"/>
  <c r="CF5" i="1"/>
  <c r="CF65" i="1"/>
  <c r="CF61" i="1"/>
  <c r="DC22" i="1"/>
  <c r="DC26" i="1"/>
  <c r="BW27" i="1"/>
  <c r="DC30" i="1"/>
  <c r="BW32" i="1"/>
  <c r="BE38" i="1"/>
  <c r="BE39" i="1"/>
  <c r="BE47" i="1"/>
  <c r="DC51" i="1"/>
  <c r="BW52" i="1"/>
  <c r="BW53" i="1"/>
  <c r="BW54" i="1"/>
  <c r="BW55" i="1"/>
  <c r="BW56" i="1"/>
  <c r="CY69" i="1"/>
  <c r="CY70" i="1"/>
  <c r="BE2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DC21" i="1"/>
  <c r="BW22" i="1"/>
  <c r="BE24" i="1"/>
  <c r="DC25" i="1"/>
  <c r="BW26" i="1"/>
  <c r="BE28" i="1"/>
  <c r="DC29" i="1"/>
  <c r="BW30" i="1"/>
  <c r="BE33" i="1"/>
  <c r="BE34" i="1"/>
  <c r="BE35" i="1"/>
  <c r="BE36" i="1"/>
  <c r="DC47" i="1"/>
  <c r="BW48" i="1"/>
  <c r="BW49" i="1"/>
  <c r="BW50" i="1"/>
  <c r="BW51" i="1"/>
  <c r="BW60" i="1"/>
  <c r="BW61" i="1"/>
  <c r="BW62" i="1"/>
  <c r="BW63" i="1"/>
  <c r="BW64" i="1"/>
  <c r="BW65" i="1"/>
  <c r="CY67" i="1"/>
  <c r="BE69" i="1"/>
  <c r="BE70" i="1"/>
  <c r="BW74" i="1"/>
  <c r="BW75" i="1"/>
  <c r="BW76" i="1"/>
  <c r="BW77" i="1"/>
  <c r="BW78" i="1"/>
  <c r="BW79" i="1"/>
  <c r="BW80" i="1"/>
  <c r="DC20" i="1"/>
  <c r="DC24" i="1"/>
  <c r="DC28" i="1"/>
  <c r="BW29" i="1"/>
  <c r="CY31" i="1"/>
  <c r="DC36" i="1"/>
  <c r="BW39" i="1"/>
  <c r="BE41" i="1"/>
  <c r="BE42" i="1"/>
  <c r="BE43" i="1"/>
  <c r="BW44" i="1"/>
  <c r="BW45" i="1"/>
  <c r="BW46" i="1"/>
  <c r="BW47" i="1"/>
  <c r="BE52" i="1"/>
  <c r="BE53" i="1"/>
  <c r="BE54" i="1"/>
  <c r="BE55" i="1"/>
  <c r="BE56" i="1"/>
  <c r="BE67" i="1"/>
  <c r="BW68" i="1"/>
  <c r="BE71" i="1"/>
  <c r="BE72" i="1"/>
  <c r="BE73" i="1"/>
  <c r="BE22" i="1"/>
  <c r="DC23" i="1"/>
  <c r="DC27" i="1"/>
  <c r="DC32" i="1"/>
  <c r="DC55" i="1"/>
  <c r="DC33" i="1"/>
  <c r="DC38" i="1"/>
  <c r="DC45" i="1"/>
  <c r="DC48" i="1"/>
  <c r="DC53" i="1"/>
  <c r="CZ66" i="1"/>
  <c r="CZ67" i="1"/>
  <c r="CY34" i="1"/>
  <c r="DC35" i="1"/>
  <c r="CY49" i="1"/>
  <c r="DC50" i="1"/>
  <c r="DC37" i="1"/>
  <c r="DC44" i="1"/>
  <c r="DC52" i="1"/>
  <c r="DC39" i="1"/>
  <c r="DC46" i="1"/>
  <c r="DC54" i="1"/>
  <c r="DC2" i="1"/>
  <c r="DC4" i="1"/>
  <c r="DC6" i="1"/>
  <c r="DC8" i="1"/>
  <c r="DC10" i="1"/>
  <c r="DC12" i="1"/>
  <c r="DC14" i="1"/>
  <c r="DC16" i="1"/>
  <c r="DC18" i="1"/>
  <c r="CY3" i="1"/>
  <c r="CY5" i="1"/>
  <c r="CY7" i="1"/>
  <c r="CY9" i="1"/>
  <c r="CY11" i="1"/>
  <c r="CY13" i="1"/>
  <c r="CY15" i="1"/>
  <c r="CY17" i="1"/>
  <c r="CY19" i="1"/>
  <c r="DD72" i="1"/>
  <c r="CZ40" i="1"/>
  <c r="CZ42" i="1"/>
  <c r="CZ62" i="1"/>
  <c r="CZ64" i="1"/>
  <c r="CZ71" i="1"/>
  <c r="CZ73" i="1"/>
  <c r="DD41" i="1"/>
  <c r="CZ2" i="1"/>
  <c r="CZ3" i="1"/>
  <c r="CZ4" i="1"/>
  <c r="CZ5" i="1"/>
  <c r="CZ6" i="1"/>
  <c r="CZ7" i="1"/>
  <c r="CZ8" i="1"/>
  <c r="CZ9" i="1"/>
  <c r="CZ10" i="1"/>
  <c r="CZ11" i="1"/>
  <c r="CZ12" i="1"/>
  <c r="CZ13" i="1"/>
  <c r="CZ14" i="1"/>
  <c r="CZ15" i="1"/>
  <c r="CZ16" i="1"/>
  <c r="CZ17" i="1"/>
  <c r="CZ18" i="1"/>
  <c r="CZ19" i="1"/>
  <c r="CZ20" i="1"/>
  <c r="CZ21" i="1"/>
  <c r="CZ22" i="1"/>
  <c r="CZ23" i="1"/>
  <c r="CZ24" i="1"/>
  <c r="CZ25" i="1"/>
  <c r="CZ26" i="1"/>
  <c r="CZ27" i="1"/>
  <c r="CZ28" i="1"/>
  <c r="CZ29" i="1"/>
  <c r="CZ30" i="1"/>
  <c r="CY57" i="1"/>
  <c r="DD63" i="1"/>
  <c r="CZ56" i="1"/>
  <c r="DC65" i="1"/>
  <c r="CY40" i="1"/>
  <c r="CY41" i="1"/>
  <c r="CY42" i="1"/>
  <c r="CZ32" i="1"/>
  <c r="CZ33" i="1"/>
  <c r="CZ34" i="1"/>
  <c r="CZ35" i="1"/>
  <c r="CZ36" i="1"/>
  <c r="CZ37" i="1"/>
  <c r="CZ38" i="1"/>
  <c r="CZ39" i="1"/>
  <c r="CZ44" i="1"/>
  <c r="CZ45" i="1"/>
  <c r="CZ46" i="1"/>
  <c r="CZ47" i="1"/>
  <c r="CZ48" i="1"/>
  <c r="CZ49" i="1"/>
  <c r="CZ50" i="1"/>
  <c r="CZ51" i="1"/>
  <c r="CZ52" i="1"/>
  <c r="CZ53" i="1"/>
  <c r="CZ54" i="1"/>
  <c r="CZ55" i="1"/>
  <c r="CZ57" i="1"/>
  <c r="CZ58" i="1"/>
  <c r="CZ59" i="1"/>
  <c r="CZ60" i="1"/>
  <c r="CY62" i="1"/>
  <c r="CY63" i="1"/>
  <c r="CY64" i="1"/>
  <c r="CY71" i="1"/>
  <c r="CY72" i="1"/>
  <c r="CY73" i="1"/>
  <c r="CZ74" i="1"/>
  <c r="CZ75" i="1"/>
  <c r="CZ76" i="1"/>
  <c r="CZ77" i="1"/>
  <c r="CZ78" i="1"/>
  <c r="CZ79" i="1"/>
  <c r="CZ80" i="1"/>
  <c r="CY58" i="1"/>
  <c r="CY59" i="1"/>
  <c r="CY60" i="1"/>
  <c r="CY74" i="1"/>
  <c r="CY75" i="1"/>
  <c r="CY76" i="1"/>
  <c r="CY77" i="1"/>
  <c r="CY78" i="1"/>
  <c r="CY79" i="1"/>
  <c r="CY80" i="1"/>
  <c r="CV4" i="1" l="1"/>
  <c r="CV8" i="1"/>
  <c r="CV12" i="1"/>
  <c r="CV16" i="1"/>
  <c r="CV20" i="1"/>
  <c r="CV24" i="1"/>
  <c r="CV28" i="1"/>
  <c r="CF34" i="1"/>
  <c r="CF38" i="1"/>
  <c r="CV40" i="1"/>
  <c r="CF47" i="1"/>
  <c r="CF51" i="1"/>
  <c r="CF55" i="1"/>
  <c r="CV56" i="1"/>
  <c r="CV60" i="1"/>
  <c r="CV64" i="1"/>
  <c r="CV68" i="1"/>
  <c r="CF70" i="1"/>
  <c r="CF74" i="1"/>
  <c r="CF78" i="1"/>
</calcChain>
</file>

<file path=xl/sharedStrings.xml><?xml version="1.0" encoding="utf-8"?>
<sst xmlns="http://schemas.openxmlformats.org/spreadsheetml/2006/main" count="423" uniqueCount="419">
  <si>
    <t>NÚMERO</t>
  </si>
  <si>
    <t>GRUPO</t>
  </si>
  <si>
    <t>ETNIA</t>
  </si>
  <si>
    <t>IDADE</t>
  </si>
  <si>
    <t>SEXO</t>
  </si>
  <si>
    <t>MEDICAMENTO EM USO (DOSAGEM)</t>
  </si>
  <si>
    <t>PRATICA AT, FÍSICA / QNTS VEZES</t>
  </si>
  <si>
    <t>FUMANTE</t>
  </si>
  <si>
    <t>PESO 0</t>
  </si>
  <si>
    <t>PESO 90</t>
  </si>
  <si>
    <t>var_per_peso</t>
  </si>
  <si>
    <t>ALTURA 0</t>
  </si>
  <si>
    <t>ALTURA 90</t>
  </si>
  <si>
    <t>IMC 0</t>
  </si>
  <si>
    <t>IMC  90</t>
  </si>
  <si>
    <t>var_IMC</t>
  </si>
  <si>
    <t>CC 0</t>
  </si>
  <si>
    <t>CC 90</t>
  </si>
  <si>
    <t>var_CC</t>
  </si>
  <si>
    <t>CA 0</t>
  </si>
  <si>
    <t>CA 90</t>
  </si>
  <si>
    <t>VAR_CA</t>
  </si>
  <si>
    <t>CQ 0</t>
  </si>
  <si>
    <t>CQ 90</t>
  </si>
  <si>
    <t>var_CQ</t>
  </si>
  <si>
    <t>PAS 0</t>
  </si>
  <si>
    <t>PAS 90</t>
  </si>
  <si>
    <t>var_PAS</t>
  </si>
  <si>
    <t>PAD 0</t>
  </si>
  <si>
    <t>PAD 90</t>
  </si>
  <si>
    <t>VAR_PAD</t>
  </si>
  <si>
    <t>% GC 0</t>
  </si>
  <si>
    <t>% GC 90</t>
  </si>
  <si>
    <t>var_% gor</t>
  </si>
  <si>
    <t>RESISTENCIA 0</t>
  </si>
  <si>
    <t>RESISTENCIA 90</t>
  </si>
  <si>
    <t>var_resis</t>
  </si>
  <si>
    <t>%GC SEGAL 0</t>
  </si>
  <si>
    <t>%GC SEGAL 90</t>
  </si>
  <si>
    <t>Glicose  0</t>
  </si>
  <si>
    <t>Glicose  90</t>
  </si>
  <si>
    <t>VAR_GLI</t>
  </si>
  <si>
    <t>ureia 0</t>
  </si>
  <si>
    <t>ureia 90</t>
  </si>
  <si>
    <t>var_Urei</t>
  </si>
  <si>
    <t xml:space="preserve"> creatinina 0</t>
  </si>
  <si>
    <t xml:space="preserve"> creatinina 90</t>
  </si>
  <si>
    <t>var_CrEatinina</t>
  </si>
  <si>
    <t>bili total 0</t>
  </si>
  <si>
    <t>bili total 90</t>
  </si>
  <si>
    <t>VAR_BIL_TTL</t>
  </si>
  <si>
    <t>bili direta 0</t>
  </si>
  <si>
    <t>bili direta 90</t>
  </si>
  <si>
    <t>var_BIL_DIR</t>
  </si>
  <si>
    <t>bili indireta 0</t>
  </si>
  <si>
    <t>bili indireta 90</t>
  </si>
  <si>
    <t>var_BIL_IND</t>
  </si>
  <si>
    <t>GGT 0</t>
  </si>
  <si>
    <t>GGT 90</t>
  </si>
  <si>
    <t>AST 0</t>
  </si>
  <si>
    <t>AST 90</t>
  </si>
  <si>
    <t>ALT 0</t>
  </si>
  <si>
    <t>ALT 90</t>
  </si>
  <si>
    <t>ácido úrico 0</t>
  </si>
  <si>
    <t>ácido úrico 90</t>
  </si>
  <si>
    <t>var_AC_URCI</t>
  </si>
  <si>
    <t>prot totais 0</t>
  </si>
  <si>
    <t>prot totais 90</t>
  </si>
  <si>
    <t>var_ptn</t>
  </si>
  <si>
    <t>albumina 0</t>
  </si>
  <si>
    <t>albumina 90</t>
  </si>
  <si>
    <t>var_ALB</t>
  </si>
  <si>
    <t>globulina 0</t>
  </si>
  <si>
    <t>globulina 90</t>
  </si>
  <si>
    <t>var_GLOB</t>
  </si>
  <si>
    <t>col total 0</t>
  </si>
  <si>
    <t>col total 90</t>
  </si>
  <si>
    <t>_CT</t>
  </si>
  <si>
    <t>HDL-c 0</t>
  </si>
  <si>
    <t>HDL-c 90</t>
  </si>
  <si>
    <t>VAR_HDL</t>
  </si>
  <si>
    <t>LDL-c 0</t>
  </si>
  <si>
    <t>LDL-c 90</t>
  </si>
  <si>
    <t>var_LDL</t>
  </si>
  <si>
    <t>Trig 0</t>
  </si>
  <si>
    <t>Trig 90</t>
  </si>
  <si>
    <t>var_TG</t>
  </si>
  <si>
    <t>PCR 0</t>
  </si>
  <si>
    <t>PCR 90</t>
  </si>
  <si>
    <t>vat_PCR</t>
  </si>
  <si>
    <t>Insulina 0</t>
  </si>
  <si>
    <t>Insulina 90</t>
  </si>
  <si>
    <t>var_INSL</t>
  </si>
  <si>
    <t>Vitamina D 0</t>
  </si>
  <si>
    <t>Vitamina D 90</t>
  </si>
  <si>
    <t>PTH 0</t>
  </si>
  <si>
    <t>PTH 90</t>
  </si>
  <si>
    <t>HOMA-IR 0</t>
  </si>
  <si>
    <t>HOMA-IR 90</t>
  </si>
  <si>
    <t>VAR_HOMA</t>
  </si>
  <si>
    <t>CT/TG 0</t>
  </si>
  <si>
    <t>CT/TG 90</t>
  </si>
  <si>
    <t>LDL/TG 0</t>
  </si>
  <si>
    <t>LDL/TG 90</t>
  </si>
  <si>
    <t>CT/HDL 0</t>
  </si>
  <si>
    <t>CT/HDL 90</t>
  </si>
  <si>
    <t>LDL/HDL 0</t>
  </si>
  <si>
    <t xml:space="preserve">LDL/HDL 90 </t>
  </si>
  <si>
    <t>não-HDL-C 0</t>
  </si>
  <si>
    <t>não-HDL 90</t>
  </si>
  <si>
    <t>pré-albumina 0</t>
  </si>
  <si>
    <t>pré-albumina 90</t>
  </si>
  <si>
    <t>SH 0</t>
  </si>
  <si>
    <t>SH 90</t>
  </si>
  <si>
    <t>AOPP 0</t>
  </si>
  <si>
    <t>AOPP 90</t>
  </si>
  <si>
    <t>var_AOPP</t>
  </si>
  <si>
    <t>TRAP 0</t>
  </si>
  <si>
    <t>TRAP 90</t>
  </si>
  <si>
    <t>var_TRAP</t>
  </si>
  <si>
    <t>NO 0</t>
  </si>
  <si>
    <t>NO 90</t>
  </si>
  <si>
    <t>var_NO</t>
  </si>
  <si>
    <t>PON 0</t>
  </si>
  <si>
    <t>PON 90</t>
  </si>
  <si>
    <t>Var_PON</t>
  </si>
  <si>
    <t>FOX 0</t>
  </si>
  <si>
    <t>FOX 90</t>
  </si>
  <si>
    <t>VAR_FOX</t>
  </si>
  <si>
    <t>LOOH 0</t>
  </si>
  <si>
    <t>LOOH 90</t>
  </si>
  <si>
    <t>var_LOOH</t>
  </si>
  <si>
    <t>IL-6 0</t>
  </si>
  <si>
    <t>IL-6 90</t>
  </si>
  <si>
    <t>vr-IL-6</t>
  </si>
  <si>
    <t>TRAP/URCA 0</t>
  </si>
  <si>
    <t>TRAP/URCA 90</t>
  </si>
  <si>
    <t>CATALASE  0</t>
  </si>
  <si>
    <t>CATALASE  90</t>
  </si>
  <si>
    <t>var_Cat</t>
  </si>
  <si>
    <t>SOD 0</t>
  </si>
  <si>
    <t>SOD 90</t>
  </si>
  <si>
    <t>var_SOD</t>
  </si>
  <si>
    <t>metformina, enalapril e amitril</t>
  </si>
  <si>
    <t>3,5</t>
  </si>
  <si>
    <t>25,6</t>
  </si>
  <si>
    <t>55,8</t>
  </si>
  <si>
    <t>atenolol 50 mg, puran t4 75mg, omaprazol, floxon</t>
  </si>
  <si>
    <t>17,8</t>
  </si>
  <si>
    <t>29,9</t>
  </si>
  <si>
    <t>hidroclorotiazida</t>
  </si>
  <si>
    <t>patenolol</t>
  </si>
  <si>
    <t xml:space="preserve">sinvastatina20 mg, glibendamida 5 mg, losartana potássica </t>
  </si>
  <si>
    <t>Diovan hct 360 mg, glifage 500 mg, sinvastatina 10 mg</t>
  </si>
  <si>
    <t>18,8</t>
  </si>
  <si>
    <t>43,6</t>
  </si>
  <si>
    <t>enalapril 20 mg</t>
  </si>
  <si>
    <t>5,9</t>
  </si>
  <si>
    <t>74,8</t>
  </si>
  <si>
    <t>11,4</t>
  </si>
  <si>
    <t>22,2</t>
  </si>
  <si>
    <t>49,1</t>
  </si>
  <si>
    <t>losartana, metformina, bromazepam</t>
  </si>
  <si>
    <t>14,8</t>
  </si>
  <si>
    <t>30,2</t>
  </si>
  <si>
    <t>65,5</t>
  </si>
  <si>
    <t xml:space="preserve">calzismete, diomicrom mr, selozoqui </t>
  </si>
  <si>
    <t>27,6</t>
  </si>
  <si>
    <t>25,3</t>
  </si>
  <si>
    <t>losartana 50 mg, azucon mr 30 mg, clortalidona 12,8 mg, metformina 850 mg, sinvastatina 20 mg, atenolo 25 mg</t>
  </si>
  <si>
    <t>15,5</t>
  </si>
  <si>
    <t>46,2</t>
  </si>
  <si>
    <t>31,8</t>
  </si>
  <si>
    <t>hidroclorotiazida 25 mg, losartana 50 mg, sinvastina 20 mg</t>
  </si>
  <si>
    <t>11,6</t>
  </si>
  <si>
    <t>37,8</t>
  </si>
  <si>
    <t>60,3</t>
  </si>
  <si>
    <t>losartana 50 mg, sinvastatina 40 mg,</t>
  </si>
  <si>
    <t>20,3</t>
  </si>
  <si>
    <t>losartana 50 mg, hidroclorotiazida 25 mg, ciprobirato 100 mg, metformina 850 mg</t>
  </si>
  <si>
    <t>17,6</t>
  </si>
  <si>
    <t>20,5</t>
  </si>
  <si>
    <t>angelic, glifage 500mg, losartana 50 mg, domperidona 10 mg, omeprazol</t>
  </si>
  <si>
    <t>12,2</t>
  </si>
  <si>
    <t>19,9</t>
  </si>
  <si>
    <t>50,6</t>
  </si>
  <si>
    <t>hidromed, legrand</t>
  </si>
  <si>
    <t>13,9</t>
  </si>
  <si>
    <t>32,7</t>
  </si>
  <si>
    <t>53,5</t>
  </si>
  <si>
    <t>prati donoduzzi 850 mg, glionil 5 mg, ciprofibrato 100 mg, sinvastatina 40 mg, hidroclorotiazida, enalamed 20 mg</t>
  </si>
  <si>
    <t>15,9</t>
  </si>
  <si>
    <t>24,7</t>
  </si>
  <si>
    <t>21,6</t>
  </si>
  <si>
    <t>metformina 850 mg, hidromed 25 mg, fluoxetina 20mg, lamisil</t>
  </si>
  <si>
    <t>8,6</t>
  </si>
  <si>
    <t>32,9</t>
  </si>
  <si>
    <t xml:space="preserve">alopurinol 300mg, valsartana 160mg, vanumet, climepilina 2 mg, sinvastatina 40 mg </t>
  </si>
  <si>
    <t>6,1</t>
  </si>
  <si>
    <t>25,8</t>
  </si>
  <si>
    <t>108,8</t>
  </si>
  <si>
    <t>tegretol 200 mg</t>
  </si>
  <si>
    <t>4,5</t>
  </si>
  <si>
    <t>74,9</t>
  </si>
  <si>
    <t>aas, losartam, hidroclorotiazida, atenolol</t>
  </si>
  <si>
    <t>corus 50 mg, omeprazol 20 mg, sinvastatina 20 mg</t>
  </si>
  <si>
    <t>losartana 50 mg, glifage xr 500mg</t>
  </si>
  <si>
    <t>Fluoxetina, losartana</t>
  </si>
  <si>
    <t>glifage 500mg, propanolol 40 mg, hidrosemida 25 mg</t>
  </si>
  <si>
    <t xml:space="preserve">atenolo 50mg, anodipina 5 mg, enalapril 20 mg, januvia 50 mg, glinapirinida 20 mg, metformina </t>
  </si>
  <si>
    <t>benzentacil 1200mg, oncoron 200 mg, caverdidol 6,25, córus 50 mg, furosemida, puran t4 100 mg, sinvastatina 40 mg, metformina 850 mg</t>
  </si>
  <si>
    <t>metformina 850mg, glifage 500 mg, elimepinder 4 mg</t>
  </si>
  <si>
    <t>lozartan, propanolol 40 mg, hidromel 25mg</t>
  </si>
  <si>
    <t>metformina 750 mg, lozartana 50 mg</t>
  </si>
  <si>
    <t>lozartana 50 mg, hidroclorotiazida 50 mg, sinvastatina 40 mg, selozok 50mg, AAS 100mg</t>
  </si>
  <si>
    <t>enalapril 20 mg, hidroclorana 10 mg, metformina</t>
  </si>
  <si>
    <t>captopril 25 mg, ciprofinato 100 mg</t>
  </si>
  <si>
    <t>atenolol 50 mg, lozartana 50 mg, ansiolitico apraz 5 mg</t>
  </si>
  <si>
    <t>Sinvastatina 20 mg, lodipino 5  mg, losartana 50 mg, alopurinol 100mg, aas 100mg, metformina</t>
  </si>
  <si>
    <t>35.4</t>
  </si>
  <si>
    <t>233.37</t>
  </si>
  <si>
    <t>76.32</t>
  </si>
  <si>
    <t>8.76</t>
  </si>
  <si>
    <t>galvus met 1000mg, sinvastatina 40 mg, somalgin cardio 100 mg, omeprazol 20 mg</t>
  </si>
  <si>
    <t>44.2</t>
  </si>
  <si>
    <t>510.74</t>
  </si>
  <si>
    <t>199.14</t>
  </si>
  <si>
    <t>5.98</t>
  </si>
  <si>
    <t>ablok 50mg</t>
  </si>
  <si>
    <t>19.7</t>
  </si>
  <si>
    <t>368.17</t>
  </si>
  <si>
    <t>83.10</t>
  </si>
  <si>
    <t>9.40</t>
  </si>
  <si>
    <t>enalapril 5 mg, clorana, metformina 850 mg, aaas</t>
  </si>
  <si>
    <t>34.2</t>
  </si>
  <si>
    <t>449.08</t>
  </si>
  <si>
    <t>10.57</t>
  </si>
  <si>
    <t>losartana 50 mg, sinvastatina 40 mg, pentoxilina 500 mg, cropcogrl 75 mg, aas, omeprazol 40mg</t>
  </si>
  <si>
    <t>36,4</t>
  </si>
  <si>
    <t>69,9</t>
  </si>
  <si>
    <t>39.2</t>
  </si>
  <si>
    <t>283.71</t>
  </si>
  <si>
    <t>204.09</t>
  </si>
  <si>
    <t>6.66</t>
  </si>
  <si>
    <t>metformina 850 mg, zolon, sinvastatina 40 mg, losartana 50mg, fluoxetina</t>
  </si>
  <si>
    <t>30.2</t>
  </si>
  <si>
    <t>300.28</t>
  </si>
  <si>
    <t>94.19</t>
  </si>
  <si>
    <t>4.90</t>
  </si>
  <si>
    <t>losartana 50mg, clorana 25 mg</t>
  </si>
  <si>
    <t>21.3</t>
  </si>
  <si>
    <t>367.20</t>
  </si>
  <si>
    <t>110.55</t>
  </si>
  <si>
    <t>5.32</t>
  </si>
  <si>
    <t xml:space="preserve">alondipina, alopurinol 300mg, levoxina sódica 25 mg, tensaliv 5 mg, vertigum 10mg, apresolina 25mg </t>
  </si>
  <si>
    <t>53.3</t>
  </si>
  <si>
    <t>490.71</t>
  </si>
  <si>
    <t>94.08</t>
  </si>
  <si>
    <t>7.73</t>
  </si>
  <si>
    <t>Propanol 40 mg, losartana 50mg, sinvastatina 20 mg, omeprazol 20 mg, angeliq, ciclobenzapina 10 mg, tylex 7,5 mg</t>
  </si>
  <si>
    <t>32.7</t>
  </si>
  <si>
    <t>382.18</t>
  </si>
  <si>
    <t>66.05</t>
  </si>
  <si>
    <t>4.59</t>
  </si>
  <si>
    <t>sinvastatina, omeprazo, glifage, diovan htc, losartana</t>
  </si>
  <si>
    <t>44.7</t>
  </si>
  <si>
    <t>488.57</t>
  </si>
  <si>
    <t>62.14</t>
  </si>
  <si>
    <t>5.10</t>
  </si>
  <si>
    <t>omeprazol, metformina</t>
  </si>
  <si>
    <t>24.1</t>
  </si>
  <si>
    <t>468.34</t>
  </si>
  <si>
    <t>86.34</t>
  </si>
  <si>
    <t>3.06</t>
  </si>
  <si>
    <t>Anlodipina 5 mg, corus 50 mg, hidralazina 50 mg, furosemida 30 mg, atenolol 50mg, aas, metformina 850 mg, alenia</t>
  </si>
  <si>
    <t>41.3</t>
  </si>
  <si>
    <t>417.97</t>
  </si>
  <si>
    <t>64.38</t>
  </si>
  <si>
    <t>9.26</t>
  </si>
  <si>
    <t>Atenolol 50 mg, lozartana 50 mg, hidroclorotiazida 25mg, fluoxetina 20 mg, aplax 60 mg</t>
  </si>
  <si>
    <t>287.96</t>
  </si>
  <si>
    <t>91.19</t>
  </si>
  <si>
    <t>7.79</t>
  </si>
  <si>
    <t>sinvastatina 40mg,glifage 500 mg, losartana 50mg, natifa pró, acetildor 100mg, melleril 100mg</t>
  </si>
  <si>
    <t>28.8</t>
  </si>
  <si>
    <t>455.31</t>
  </si>
  <si>
    <t>78.86</t>
  </si>
  <si>
    <t>6.12</t>
  </si>
  <si>
    <t>losartana, ablok, monocardil, clorana, anlodipino, metformina, omeprazol</t>
  </si>
  <si>
    <t>22.2</t>
  </si>
  <si>
    <t>341.92</t>
  </si>
  <si>
    <t>66.71</t>
  </si>
  <si>
    <t>16.77</t>
  </si>
  <si>
    <t>fluoxetina 20 mg, clorpromazina 100mg, corus 50mg, carredilol 112,5 mg, furosemida, aldomet 500mg, aldoctone 25mg, anlodipina 5mg, ranitidina 150 mg, sinvastatina 40 mg, glifage 500 mg</t>
  </si>
  <si>
    <t>38.3</t>
  </si>
  <si>
    <t>554.89</t>
  </si>
  <si>
    <t>9.77</t>
  </si>
  <si>
    <t>23.7</t>
  </si>
  <si>
    <t>455.50</t>
  </si>
  <si>
    <t>59.73</t>
  </si>
  <si>
    <t>4.23</t>
  </si>
  <si>
    <t>fluoxetina 20 mg, glifagem 500mg, omeprazol 20mg</t>
  </si>
  <si>
    <t>27.5</t>
  </si>
  <si>
    <t>427.11</t>
  </si>
  <si>
    <t>172.69</t>
  </si>
  <si>
    <t>3.72</t>
  </si>
  <si>
    <t>losartana 50mg, furosemida 40 mg</t>
  </si>
  <si>
    <t>10,3</t>
  </si>
  <si>
    <t>39,6</t>
  </si>
  <si>
    <t>39,4</t>
  </si>
  <si>
    <t>202.48</t>
  </si>
  <si>
    <t>84.92</t>
  </si>
  <si>
    <t>7.10</t>
  </si>
  <si>
    <t xml:space="preserve">puran t4 50 mg, losartana 50 mg, rivotril </t>
  </si>
  <si>
    <t>53,3</t>
  </si>
  <si>
    <t>58,1</t>
  </si>
  <si>
    <t>31.4</t>
  </si>
  <si>
    <t>298.58</t>
  </si>
  <si>
    <t>141.54</t>
  </si>
  <si>
    <t>8.69</t>
  </si>
  <si>
    <t>captopril 25 mg, atenolol 25 mg, metformina 800 mg, daonil</t>
  </si>
  <si>
    <t>57,6</t>
  </si>
  <si>
    <t>23.2</t>
  </si>
  <si>
    <t>299.72</t>
  </si>
  <si>
    <t>104.22</t>
  </si>
  <si>
    <t>8.47</t>
  </si>
  <si>
    <t>insulina nph, losartana 50 mg, sinvastatina</t>
  </si>
  <si>
    <t>23.9</t>
  </si>
  <si>
    <t>192.19</t>
  </si>
  <si>
    <t>106.22</t>
  </si>
  <si>
    <t>10.36</t>
  </si>
  <si>
    <t>furosemida 50 mg, losartana 10 mg</t>
  </si>
  <si>
    <t>11,3</t>
  </si>
  <si>
    <t>35,3</t>
  </si>
  <si>
    <t>109,9</t>
  </si>
  <si>
    <t>31.2</t>
  </si>
  <si>
    <t>311.16</t>
  </si>
  <si>
    <t>79.32</t>
  </si>
  <si>
    <t>5.21</t>
  </si>
  <si>
    <t>losartana 50 mg, totelle, lipless 100 mg, Ostio ban 150 mg</t>
  </si>
  <si>
    <t>10,2</t>
  </si>
  <si>
    <t>54,8</t>
  </si>
  <si>
    <t>27,5</t>
  </si>
  <si>
    <t>25.8</t>
  </si>
  <si>
    <t>344.34</t>
  </si>
  <si>
    <t>77.41</t>
  </si>
  <si>
    <t>5.65</t>
  </si>
  <si>
    <t>metformina 850 mg, losartana 50 mg</t>
  </si>
  <si>
    <t>26.4</t>
  </si>
  <si>
    <t>281.42</t>
  </si>
  <si>
    <t>141.29</t>
  </si>
  <si>
    <t>5.86</t>
  </si>
  <si>
    <t>39.4</t>
  </si>
  <si>
    <t>342.05</t>
  </si>
  <si>
    <t>96.45</t>
  </si>
  <si>
    <t>5.72</t>
  </si>
  <si>
    <t>sinvastatina 40mg, metformina 850 mg, hidroclorotiazida 25 mg, ginbenclamida 5 mg, enalapril 10 mg, bezafibrato 200 mg, insulina nph, insulina regular</t>
  </si>
  <si>
    <t>28.4</t>
  </si>
  <si>
    <t>409.55</t>
  </si>
  <si>
    <t>103.21</t>
  </si>
  <si>
    <t>11.88</t>
  </si>
  <si>
    <t>insulina nph, metformina 850 mg, losartana 50 mg, pressat 5 mg, vytorin , levoid, hidroclorotiazida 25 mg, aas 100 mg, legrand 25 mg</t>
  </si>
  <si>
    <t>25.9</t>
  </si>
  <si>
    <t>296.29</t>
  </si>
  <si>
    <t>117.74</t>
  </si>
  <si>
    <t>6.88</t>
  </si>
  <si>
    <t>parecetamol 750 mg, diacerlina 50 mg</t>
  </si>
  <si>
    <t>30.5</t>
  </si>
  <si>
    <t>331.76</t>
  </si>
  <si>
    <t>86.68</t>
  </si>
  <si>
    <t>6.81</t>
  </si>
  <si>
    <t>sinvastatina 20 mg, enalapril 20 mg, hidroclorotiazida 25 mg</t>
  </si>
  <si>
    <t>390.26</t>
  </si>
  <si>
    <t>131.38</t>
  </si>
  <si>
    <t>12.89</t>
  </si>
  <si>
    <t>enalapril 20 mg, aerodini 100 mg</t>
  </si>
  <si>
    <t>32.5</t>
  </si>
  <si>
    <t>326.04</t>
  </si>
  <si>
    <t>292.36</t>
  </si>
  <si>
    <t>8.83</t>
  </si>
  <si>
    <t>metformina 850 mg, trasedona 50 mg, topiramato 50 mg</t>
  </si>
  <si>
    <t>23.5</t>
  </si>
  <si>
    <t>305.44</t>
  </si>
  <si>
    <t>85.43</t>
  </si>
  <si>
    <t>losartana 50 mg, clorana 20 mg</t>
  </si>
  <si>
    <t>349.85</t>
  </si>
  <si>
    <t>53.14</t>
  </si>
  <si>
    <t>8.43</t>
  </si>
  <si>
    <t>losartana, nitiendipino, flavoniti, mematina, glucosamida, gincobiloba</t>
  </si>
  <si>
    <t>29.1</t>
  </si>
  <si>
    <t>221.78</t>
  </si>
  <si>
    <t>93.69</t>
  </si>
  <si>
    <t>17.02</t>
  </si>
  <si>
    <t>pesaladin 20 mg, enalapril 20mg</t>
  </si>
  <si>
    <t>16.6</t>
  </si>
  <si>
    <t>289.43</t>
  </si>
  <si>
    <t>75.16</t>
  </si>
  <si>
    <t>5.40</t>
  </si>
  <si>
    <t>propanolo 40 mg, benezapil 5 mg, lozartana, sinvastativa 80 mg</t>
  </si>
  <si>
    <t>32.9</t>
  </si>
  <si>
    <t>370.05</t>
  </si>
  <si>
    <t>114.41</t>
  </si>
  <si>
    <t>13.67</t>
  </si>
  <si>
    <t>metformina 850 mg, captopril 25mg</t>
  </si>
  <si>
    <t>33.9</t>
  </si>
  <si>
    <t>395.31</t>
  </si>
  <si>
    <t>192.32</t>
  </si>
  <si>
    <t>9.98</t>
  </si>
  <si>
    <t>glifage 500 mg, betes 4 mg, fluoxetina 20 mg, furosemida, luozepino</t>
  </si>
  <si>
    <t>468.57</t>
  </si>
  <si>
    <t>39.94</t>
  </si>
  <si>
    <t>5.52</t>
  </si>
  <si>
    <t>glifage 50mg, insulina NPH, vitnal de vitaminas e minerais, nootropil 800 mg</t>
  </si>
  <si>
    <t>477.41</t>
  </si>
  <si>
    <t>67.71</t>
  </si>
  <si>
    <t>5.38</t>
  </si>
  <si>
    <t>304.38</t>
  </si>
  <si>
    <t>79.70</t>
  </si>
  <si>
    <t>4.74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</si>
</sst>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indexed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3" fillId="5" borderId="1" xfId="0" applyFont="1" applyFill="1" applyBorder="1"/>
    <xf numFmtId="0" fontId="0" fillId="5" borderId="1" xfId="0" applyFill="1" applyBorder="1"/>
    <xf numFmtId="0" fontId="0" fillId="5" borderId="1" xfId="0" applyFont="1" applyFill="1" applyBorder="1"/>
    <xf numFmtId="0" fontId="0" fillId="5" borderId="1" xfId="0" applyFont="1" applyFill="1" applyBorder="1" applyAlignment="1">
      <alignment horizontal="right"/>
    </xf>
    <xf numFmtId="164" fontId="0" fillId="5" borderId="1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right" wrapText="1"/>
    </xf>
    <xf numFmtId="2" fontId="0" fillId="5" borderId="1" xfId="0" applyNumberFormat="1" applyFont="1" applyFill="1" applyBorder="1" applyAlignment="1">
      <alignment horizontal="right"/>
    </xf>
    <xf numFmtId="0" fontId="0" fillId="5" borderId="1" xfId="0" applyFont="1" applyFill="1" applyBorder="1" applyAlignment="1"/>
    <xf numFmtId="2" fontId="0" fillId="5" borderId="1" xfId="0" applyNumberFormat="1" applyFont="1" applyFill="1" applyBorder="1" applyAlignment="1"/>
    <xf numFmtId="164" fontId="0" fillId="5" borderId="1" xfId="0" applyNumberFormat="1" applyFont="1" applyFill="1" applyBorder="1" applyAlignment="1"/>
    <xf numFmtId="0" fontId="0" fillId="5" borderId="1" xfId="0" applyFont="1" applyFill="1" applyBorder="1" applyAlignment="1">
      <alignment horizontal="right" vertical="top" wrapText="1"/>
    </xf>
    <xf numFmtId="0" fontId="3" fillId="6" borderId="1" xfId="0" applyFont="1" applyFill="1" applyBorder="1"/>
    <xf numFmtId="0" fontId="0" fillId="6" borderId="1" xfId="0" applyFont="1" applyFill="1" applyBorder="1"/>
    <xf numFmtId="0" fontId="3" fillId="6" borderId="1" xfId="0" applyFont="1" applyFill="1" applyBorder="1" applyAlignment="1">
      <alignment horizontal="right"/>
    </xf>
    <xf numFmtId="0" fontId="0" fillId="6" borderId="0" xfId="0" applyFill="1"/>
    <xf numFmtId="0" fontId="0" fillId="6" borderId="1" xfId="0" applyFill="1" applyBorder="1"/>
    <xf numFmtId="0" fontId="3" fillId="6" borderId="0" xfId="0" applyFont="1" applyFill="1" applyBorder="1"/>
    <xf numFmtId="2" fontId="3" fillId="6" borderId="1" xfId="0" applyNumberFormat="1" applyFont="1" applyFill="1" applyBorder="1" applyAlignment="1">
      <alignment horizontal="right"/>
    </xf>
    <xf numFmtId="164" fontId="3" fillId="6" borderId="1" xfId="0" applyNumberFormat="1" applyFont="1" applyFill="1" applyBorder="1" applyAlignment="1">
      <alignment horizontal="right"/>
    </xf>
    <xf numFmtId="0" fontId="3" fillId="6" borderId="1" xfId="0" applyFont="1" applyFill="1" applyBorder="1" applyAlignment="1">
      <alignment horizontal="right" wrapText="1"/>
    </xf>
    <xf numFmtId="0" fontId="0" fillId="6" borderId="1" xfId="0" applyFont="1" applyFill="1" applyBorder="1" applyAlignment="1">
      <alignment horizontal="right"/>
    </xf>
    <xf numFmtId="0" fontId="5" fillId="6" borderId="0" xfId="0" applyFont="1" applyFill="1"/>
    <xf numFmtId="0" fontId="3" fillId="6" borderId="0" xfId="0" applyFont="1" applyFill="1" applyBorder="1" applyAlignment="1">
      <alignment horizontal="right" vertical="top" wrapText="1"/>
    </xf>
    <xf numFmtId="0" fontId="3" fillId="6" borderId="1" xfId="0" applyFont="1" applyFill="1" applyBorder="1" applyAlignment="1">
      <alignment horizontal="right" vertical="top" wrapText="1"/>
    </xf>
    <xf numFmtId="2" fontId="2" fillId="2" borderId="1" xfId="0" applyNumberFormat="1" applyFont="1" applyFill="1" applyBorder="1"/>
    <xf numFmtId="2" fontId="0" fillId="5" borderId="1" xfId="0" applyNumberFormat="1" applyFill="1" applyBorder="1"/>
    <xf numFmtId="2" fontId="0" fillId="0" borderId="0" xfId="0" applyNumberFormat="1"/>
    <xf numFmtId="164" fontId="3" fillId="7" borderId="1" xfId="0" applyNumberFormat="1" applyFont="1" applyFill="1" applyBorder="1" applyAlignment="1">
      <alignment horizontal="right"/>
    </xf>
    <xf numFmtId="0" fontId="3" fillId="7" borderId="1" xfId="0" applyFont="1" applyFill="1" applyBorder="1" applyAlignment="1">
      <alignment horizontal="right"/>
    </xf>
    <xf numFmtId="0" fontId="0" fillId="7" borderId="1" xfId="0" applyFont="1" applyFill="1" applyBorder="1" applyAlignment="1">
      <alignment horizontal="right"/>
    </xf>
    <xf numFmtId="0" fontId="0" fillId="7" borderId="1" xfId="0" applyFont="1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81"/>
  <sheetViews>
    <sheetView tabSelected="1" workbookViewId="0">
      <pane xSplit="1" ySplit="1" topLeftCell="BV44" activePane="bottomRight" state="frozen"/>
      <selection pane="bottomRight" activeCell="CV62" sqref="CV62"/>
      <selection pane="bottomLeft" activeCell="A2" sqref="A2"/>
      <selection pane="topRight" activeCell="B1" sqref="B1"/>
    </sheetView>
  </sheetViews>
  <sheetFormatPr defaultRowHeight="15"/>
  <cols>
    <col min="6" max="6" width="31" customWidth="1"/>
    <col min="7" max="7" width="11.28515625" customWidth="1"/>
    <col min="8" max="8" width="11" customWidth="1"/>
    <col min="11" max="11" width="13.42578125" style="31" customWidth="1"/>
  </cols>
  <sheetData>
    <row r="1" spans="1:14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9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4" t="s">
        <v>140</v>
      </c>
      <c r="EL1" s="3" t="s">
        <v>141</v>
      </c>
      <c r="EM1" s="36" t="s">
        <v>142</v>
      </c>
    </row>
    <row r="2" spans="1:143">
      <c r="A2" s="5">
        <v>3</v>
      </c>
      <c r="B2" s="6">
        <v>1</v>
      </c>
      <c r="C2" s="6">
        <v>1</v>
      </c>
      <c r="D2" s="6">
        <v>52</v>
      </c>
      <c r="E2" s="6">
        <v>1</v>
      </c>
      <c r="F2" s="6" t="s">
        <v>143</v>
      </c>
      <c r="G2" s="6">
        <v>1</v>
      </c>
      <c r="H2" s="6">
        <v>1</v>
      </c>
      <c r="I2" s="6">
        <v>72.599999999999994</v>
      </c>
      <c r="J2" s="6">
        <v>73.3</v>
      </c>
      <c r="K2" s="30">
        <f>(J2-I2)/I2*100</f>
        <v>0.96418732782369543</v>
      </c>
      <c r="L2" s="6">
        <v>1.54</v>
      </c>
      <c r="M2" s="6">
        <v>1.54</v>
      </c>
      <c r="N2" s="6">
        <v>30.63</v>
      </c>
      <c r="O2" s="6">
        <v>30.91</v>
      </c>
      <c r="P2" s="30">
        <f>(O2-N2)/N2*100</f>
        <v>0.91413646751551147</v>
      </c>
      <c r="Q2" s="6">
        <v>90</v>
      </c>
      <c r="R2" s="6">
        <v>97</v>
      </c>
      <c r="S2" s="30">
        <f>(R2-Q2)/Q2*100</f>
        <v>7.7777777777777777</v>
      </c>
      <c r="T2" s="6">
        <v>96</v>
      </c>
      <c r="U2" s="6">
        <v>108</v>
      </c>
      <c r="V2" s="30">
        <f>(U2-T2)/T2*100</f>
        <v>12.5</v>
      </c>
      <c r="W2" s="6">
        <v>100</v>
      </c>
      <c r="X2" s="6">
        <v>101</v>
      </c>
      <c r="Y2" s="30">
        <f>(X2-W2)/W2*100</f>
        <v>1</v>
      </c>
      <c r="Z2" s="5">
        <v>165</v>
      </c>
      <c r="AA2" s="6">
        <v>170</v>
      </c>
      <c r="AB2" s="30">
        <f>(AA2-Z2)/Z2*100</f>
        <v>3.0303030303030303</v>
      </c>
      <c r="AC2" s="5">
        <v>90</v>
      </c>
      <c r="AD2" s="6">
        <v>95</v>
      </c>
      <c r="AE2" s="30">
        <f>(AD2-AC2)/AC2*100</f>
        <v>5.5555555555555554</v>
      </c>
      <c r="AF2" s="6">
        <v>26.3</v>
      </c>
      <c r="AG2" s="6">
        <v>25.4</v>
      </c>
      <c r="AH2" s="30">
        <f>(AG2-AF2)/AF2*100</f>
        <v>-3.4220532319391714</v>
      </c>
      <c r="AI2" s="6">
        <v>430</v>
      </c>
      <c r="AJ2" s="6">
        <v>402</v>
      </c>
      <c r="AK2" s="30">
        <f>(AJ2-AI2)/AI2*100</f>
        <v>-6.5116279069767442</v>
      </c>
      <c r="AL2" s="6">
        <v>41</v>
      </c>
      <c r="AM2" s="6">
        <v>41</v>
      </c>
      <c r="AN2" s="7">
        <v>389</v>
      </c>
      <c r="AO2" s="8">
        <v>346</v>
      </c>
      <c r="AP2" s="30">
        <f>(AO2-AN2)/AN2*100</f>
        <v>-11.053984575835475</v>
      </c>
      <c r="AQ2" s="7">
        <v>30</v>
      </c>
      <c r="AR2" s="8">
        <v>31</v>
      </c>
      <c r="AS2" s="30">
        <f>(AR2-AQ2)/AQ2*100</f>
        <v>3.3333333333333335</v>
      </c>
      <c r="AT2" s="7">
        <v>0.73</v>
      </c>
      <c r="AU2" s="8">
        <v>0.6</v>
      </c>
      <c r="AV2" s="30">
        <f>(AU2-AT2)/AT2*100</f>
        <v>-17.808219178082194</v>
      </c>
      <c r="AW2" s="7">
        <v>0.31</v>
      </c>
      <c r="AX2" s="8">
        <v>0.24</v>
      </c>
      <c r="AY2" s="30">
        <f>(AX2-AW2)/AW2*100</f>
        <v>-22.580645161290324</v>
      </c>
      <c r="AZ2" s="7">
        <v>0.08</v>
      </c>
      <c r="BA2" s="8">
        <v>0.06</v>
      </c>
      <c r="BB2" s="30">
        <f>(BA2-AZ2)/AZ2*100</f>
        <v>-25.000000000000007</v>
      </c>
      <c r="BC2" s="7">
        <f>AW2-AZ2</f>
        <v>0.22999999999999998</v>
      </c>
      <c r="BD2" s="7">
        <f>AX2-BA2</f>
        <v>0.18</v>
      </c>
      <c r="BE2" s="30">
        <f>(BD2-BC2)/BC2*100</f>
        <v>-21.739130434782606</v>
      </c>
      <c r="BF2" s="7">
        <v>41</v>
      </c>
      <c r="BG2" s="8">
        <v>41</v>
      </c>
      <c r="BH2" s="7">
        <v>18</v>
      </c>
      <c r="BI2" s="8">
        <v>17</v>
      </c>
      <c r="BJ2" s="7">
        <v>33</v>
      </c>
      <c r="BK2" s="8">
        <v>31</v>
      </c>
      <c r="BL2" s="7">
        <v>2.7</v>
      </c>
      <c r="BM2" s="8">
        <v>3.2</v>
      </c>
      <c r="BN2" s="30">
        <f>(BM2-BL2)/BL2*100</f>
        <v>18.518518518518519</v>
      </c>
      <c r="BO2" s="7">
        <v>7.14</v>
      </c>
      <c r="BP2" s="8">
        <v>6.65</v>
      </c>
      <c r="BQ2" s="30">
        <f>(BP2-BO2)/BO2*100</f>
        <v>-6.8627450980392064</v>
      </c>
      <c r="BR2" s="7">
        <v>3.59</v>
      </c>
      <c r="BS2" s="8">
        <v>3.29</v>
      </c>
      <c r="BT2" s="30">
        <f>(BS2-BR2)/BR2*100</f>
        <v>-8.3565459610027819</v>
      </c>
      <c r="BU2" s="7">
        <f t="shared" ref="BU2:BU19" si="0">BO2-BR2</f>
        <v>3.55</v>
      </c>
      <c r="BV2" s="7">
        <f t="shared" ref="BV2:BV19" si="1">BP2-BS2</f>
        <v>3.3600000000000003</v>
      </c>
      <c r="BW2" s="30">
        <f>(BV2-BU2)/BU2*100</f>
        <v>-5.3521126760563238</v>
      </c>
      <c r="BX2" s="7">
        <v>213</v>
      </c>
      <c r="BY2" s="8">
        <v>199</v>
      </c>
      <c r="BZ2" s="30">
        <f>(BY2-BX2)/BX2*100</f>
        <v>-6.5727699530516439</v>
      </c>
      <c r="CA2" s="7">
        <v>40</v>
      </c>
      <c r="CB2" s="8">
        <v>46</v>
      </c>
      <c r="CC2" s="30">
        <f>(CB2-CA2)/CA2*100</f>
        <v>15</v>
      </c>
      <c r="CD2" s="7">
        <f t="shared" ref="CD2:CD30" si="2">BX2-(CA2+CG2/5)</f>
        <v>150</v>
      </c>
      <c r="CE2" s="7">
        <f t="shared" ref="CE2:CE30" si="3">BY2-(CB2+CH2/5)</f>
        <v>125.6</v>
      </c>
      <c r="CF2" s="30">
        <f>(CE2-CD2)/CD2*100</f>
        <v>-16.266666666666669</v>
      </c>
      <c r="CG2" s="7">
        <v>115</v>
      </c>
      <c r="CH2" s="8">
        <v>137</v>
      </c>
      <c r="CI2" s="30">
        <f>(CH2-CG2)/CG2*100</f>
        <v>19.130434782608695</v>
      </c>
      <c r="CJ2" s="7">
        <v>4.3</v>
      </c>
      <c r="CK2" s="9">
        <v>4</v>
      </c>
      <c r="CL2" s="30">
        <f>(CK2-CJ2)/CJ2*100</f>
        <v>-6.9767441860465071</v>
      </c>
      <c r="CM2" s="7">
        <v>3.4</v>
      </c>
      <c r="CN2" s="10" t="s">
        <v>144</v>
      </c>
      <c r="CO2" s="30" t="e">
        <f>(CN2-CM2)/CM2*100</f>
        <v>#VALUE!</v>
      </c>
      <c r="CP2" s="7">
        <v>28.3</v>
      </c>
      <c r="CQ2" s="10" t="s">
        <v>145</v>
      </c>
      <c r="CR2" s="7">
        <v>74.5</v>
      </c>
      <c r="CS2" s="8" t="s">
        <v>146</v>
      </c>
      <c r="CT2" s="7">
        <f t="shared" ref="CT2:CT33" si="4">CM2*AN2/402</f>
        <v>3.2900497512437807</v>
      </c>
      <c r="CU2" s="7" t="e">
        <f t="shared" ref="CU2:CU33" si="5">AO2*CN2/402</f>
        <v>#VALUE!</v>
      </c>
      <c r="CV2" s="30" t="e">
        <f>(CU2-CT2)/CT2*100</f>
        <v>#VALUE!</v>
      </c>
      <c r="CW2" s="6">
        <f t="shared" ref="CW2:CW33" si="6">BX2/CG2</f>
        <v>1.8521739130434782</v>
      </c>
      <c r="CX2" s="6">
        <f t="shared" ref="CX2:CX33" si="7">BY2/CH2</f>
        <v>1.4525547445255473</v>
      </c>
      <c r="CY2" s="6">
        <f t="shared" ref="CY2:CY30" si="8">CD2/CG2</f>
        <v>1.3043478260869565</v>
      </c>
      <c r="CZ2" s="6">
        <f t="shared" ref="CZ2:CZ30" si="9">CE2/CH2</f>
        <v>0.91678832116788322</v>
      </c>
      <c r="DA2" s="6">
        <f t="shared" ref="DA2:DA39" si="10">BX2/CA2</f>
        <v>5.3250000000000002</v>
      </c>
      <c r="DB2" s="6">
        <f t="shared" ref="DB2:DB39" si="11">BY2/CB2</f>
        <v>4.3260869565217392</v>
      </c>
      <c r="DC2" s="6">
        <f t="shared" ref="DC2:DC30" si="12">CD2/CA2</f>
        <v>3.75</v>
      </c>
      <c r="DD2" s="6">
        <f t="shared" ref="DD2:DD30" si="13">CE2/CB2</f>
        <v>2.7304347826086954</v>
      </c>
      <c r="DE2" s="6">
        <f t="shared" ref="DE2:DE39" si="14">BX2-CA2</f>
        <v>173</v>
      </c>
      <c r="DF2" s="6">
        <f t="shared" ref="DF2:DF39" si="15">BY2-CB2</f>
        <v>153</v>
      </c>
      <c r="DG2" s="6">
        <v>22.5</v>
      </c>
      <c r="DH2" s="6">
        <v>27.5</v>
      </c>
      <c r="DI2" s="6">
        <v>227.65</v>
      </c>
      <c r="DJ2" s="6">
        <v>211.99</v>
      </c>
      <c r="DK2" s="6">
        <v>65.89</v>
      </c>
      <c r="DL2" s="6">
        <v>34.42</v>
      </c>
      <c r="DM2" s="30">
        <f>(DL2-DK2)/DK2*100</f>
        <v>-47.761420549400512</v>
      </c>
      <c r="DN2" s="6">
        <v>940.33</v>
      </c>
      <c r="DO2" s="6">
        <v>980.43</v>
      </c>
      <c r="DP2" s="30">
        <f>(DO2-DN2)/DN2*100</f>
        <v>4.2644603490263959</v>
      </c>
      <c r="DQ2" s="6">
        <v>12.6</v>
      </c>
      <c r="DR2" s="6">
        <v>6.03</v>
      </c>
      <c r="DS2" s="30">
        <f>(DR2-DQ2)/DQ2*100</f>
        <v>-52.142857142857139</v>
      </c>
      <c r="DT2" s="7">
        <v>444.3</v>
      </c>
      <c r="DU2" s="7">
        <v>461.19</v>
      </c>
      <c r="DV2" s="30">
        <f>(DU2-DT2)/DT2*100</f>
        <v>3.8014854827819007</v>
      </c>
      <c r="DW2" s="6">
        <v>0.44600000000000001</v>
      </c>
      <c r="DX2" s="6">
        <v>0.33600000000000002</v>
      </c>
      <c r="DY2" s="30">
        <f>(DX2-DW2)/DW2*100</f>
        <v>-24.663677130044839</v>
      </c>
      <c r="DZ2" s="6">
        <v>928146.23</v>
      </c>
      <c r="EA2" s="6">
        <v>1287266.82</v>
      </c>
      <c r="EB2" s="30">
        <f>(EA2-DZ2)/DZ2*100</f>
        <v>38.692242492866683</v>
      </c>
      <c r="EC2" s="6">
        <v>4.6500000000000004</v>
      </c>
      <c r="ED2" s="6">
        <v>8.7100000000000009</v>
      </c>
      <c r="EE2" s="30">
        <f>(ED2-EC2)/EC2*100</f>
        <v>87.311827956989248</v>
      </c>
      <c r="EF2" s="6">
        <f t="shared" ref="EF2:EF33" si="16">DN2/BL2</f>
        <v>348.27037037037036</v>
      </c>
      <c r="EG2" s="6">
        <f t="shared" ref="EG2:EG33" si="17">DO2/BM2</f>
        <v>306.38437499999998</v>
      </c>
      <c r="EH2" s="6">
        <v>35.700000000000003</v>
      </c>
      <c r="EI2" s="6">
        <v>48.75</v>
      </c>
      <c r="EJ2" s="30">
        <f>(EI2-EH2)/EH2*100</f>
        <v>36.55462184873948</v>
      </c>
      <c r="EK2" s="6">
        <v>51.09</v>
      </c>
      <c r="EL2" s="6">
        <v>47.93</v>
      </c>
      <c r="EM2" s="30">
        <f>(EL2-EK2)/EK2*100</f>
        <v>-6.1851634370718411</v>
      </c>
    </row>
    <row r="3" spans="1:143">
      <c r="A3" s="5">
        <v>6</v>
      </c>
      <c r="B3" s="6">
        <v>1</v>
      </c>
      <c r="C3" s="6">
        <v>1</v>
      </c>
      <c r="D3" s="6">
        <v>58</v>
      </c>
      <c r="E3" s="6">
        <v>1</v>
      </c>
      <c r="F3" s="6" t="s">
        <v>147</v>
      </c>
      <c r="G3" s="6">
        <v>2</v>
      </c>
      <c r="H3" s="6">
        <v>1</v>
      </c>
      <c r="I3" s="6">
        <v>74.599999999999994</v>
      </c>
      <c r="J3" s="6">
        <v>73.900000000000006</v>
      </c>
      <c r="K3" s="30">
        <f t="shared" ref="K3:K66" si="18">(J3-I3)/I3*100</f>
        <v>-0.93833780160856395</v>
      </c>
      <c r="L3" s="6">
        <v>1.56</v>
      </c>
      <c r="M3" s="6">
        <v>1.56</v>
      </c>
      <c r="N3" s="6">
        <v>30.69</v>
      </c>
      <c r="O3" s="6">
        <v>30.41</v>
      </c>
      <c r="P3" s="30">
        <f t="shared" ref="P3:P66" si="19">(O3-N3)/N3*100</f>
        <v>-0.91234929944607723</v>
      </c>
      <c r="Q3" s="6">
        <v>86</v>
      </c>
      <c r="R3" s="6">
        <v>89</v>
      </c>
      <c r="S3" s="30">
        <f t="shared" ref="S3:S66" si="20">(R3-Q3)/Q3*100</f>
        <v>3.4883720930232558</v>
      </c>
      <c r="T3" s="6">
        <v>97</v>
      </c>
      <c r="U3" s="6">
        <v>101</v>
      </c>
      <c r="V3" s="30">
        <f t="shared" ref="V3:V66" si="21">(U3-T3)/T3*100</f>
        <v>4.1237113402061851</v>
      </c>
      <c r="W3" s="6">
        <v>106</v>
      </c>
      <c r="X3" s="6">
        <v>111</v>
      </c>
      <c r="Y3" s="30">
        <f t="shared" ref="Y3:Y66" si="22">(X3-W3)/W3*100</f>
        <v>4.716981132075472</v>
      </c>
      <c r="Z3" s="6">
        <v>120</v>
      </c>
      <c r="AA3" s="6">
        <v>120</v>
      </c>
      <c r="AB3" s="30">
        <f t="shared" ref="AB3:AB66" si="23">(AA3-Z3)/Z3*100</f>
        <v>0</v>
      </c>
      <c r="AC3" s="6">
        <v>75</v>
      </c>
      <c r="AD3" s="6">
        <v>70</v>
      </c>
      <c r="AE3" s="30">
        <f t="shared" ref="AE3:AE66" si="24">(AD3-AC3)/AC3*100</f>
        <v>-6.666666666666667</v>
      </c>
      <c r="AF3" s="6">
        <v>44.1</v>
      </c>
      <c r="AG3" s="6">
        <v>43.2</v>
      </c>
      <c r="AH3" s="30">
        <f t="shared" ref="AH3:AH66" si="25">(AG3-AF3)/AF3*100</f>
        <v>-2.0408163265306092</v>
      </c>
      <c r="AI3" s="6">
        <v>592</v>
      </c>
      <c r="AJ3" s="6">
        <v>573</v>
      </c>
      <c r="AK3" s="30">
        <f t="shared" ref="AK3:AK66" si="26">(AJ3-AI3)/AI3*100</f>
        <v>-3.2094594594594592</v>
      </c>
      <c r="AL3" s="6">
        <v>45</v>
      </c>
      <c r="AM3" s="6">
        <v>44</v>
      </c>
      <c r="AN3" s="7">
        <v>96</v>
      </c>
      <c r="AO3" s="8">
        <v>89</v>
      </c>
      <c r="AP3" s="30">
        <f t="shared" ref="AP3:AP66" si="27">(AO3-AN3)/AN3*100</f>
        <v>-7.291666666666667</v>
      </c>
      <c r="AQ3" s="7">
        <v>44</v>
      </c>
      <c r="AR3" s="8">
        <v>50</v>
      </c>
      <c r="AS3" s="30">
        <f t="shared" ref="AS3:AS66" si="28">(AR3-AQ3)/AQ3*100</f>
        <v>13.636363636363635</v>
      </c>
      <c r="AT3" s="7">
        <v>1.1100000000000001</v>
      </c>
      <c r="AU3" s="8">
        <v>0.95</v>
      </c>
      <c r="AV3" s="30">
        <f t="shared" ref="AV3:AV66" si="29">(AU3-AT3)/AT3*100</f>
        <v>-14.414414414414425</v>
      </c>
      <c r="AW3" s="7">
        <v>0.54</v>
      </c>
      <c r="AX3" s="8">
        <v>0.45</v>
      </c>
      <c r="AY3" s="30">
        <f t="shared" ref="AY3:AY66" si="30">(AX3-AW3)/AW3*100</f>
        <v>-16.666666666666671</v>
      </c>
      <c r="AZ3" s="7">
        <v>0.11</v>
      </c>
      <c r="BA3" s="8">
        <v>0.11</v>
      </c>
      <c r="BB3" s="30">
        <f t="shared" ref="BB3:BB66" si="31">(BA3-AZ3)/AZ3*100</f>
        <v>0</v>
      </c>
      <c r="BC3" s="7">
        <f>AW3-AZ3</f>
        <v>0.43000000000000005</v>
      </c>
      <c r="BD3" s="7">
        <f t="shared" ref="BD3:BD66" si="32">AX3-BA3</f>
        <v>0.34</v>
      </c>
      <c r="BE3" s="30">
        <f t="shared" ref="BE3:BE66" si="33">(BD3-BC3)/BC3*100</f>
        <v>-20.93023255813954</v>
      </c>
      <c r="BF3" s="7">
        <v>35</v>
      </c>
      <c r="BG3" s="8">
        <v>34</v>
      </c>
      <c r="BH3" s="7">
        <v>20</v>
      </c>
      <c r="BI3" s="8">
        <v>15</v>
      </c>
      <c r="BJ3" s="7">
        <v>33</v>
      </c>
      <c r="BK3" s="8">
        <v>28</v>
      </c>
      <c r="BL3" s="7">
        <v>6.3</v>
      </c>
      <c r="BM3" s="8">
        <v>6.5</v>
      </c>
      <c r="BN3" s="30">
        <f t="shared" ref="BN3:BN66" si="34">(BM3-BL3)/BL3*100</f>
        <v>3.1746031746031771</v>
      </c>
      <c r="BO3" s="7">
        <v>7.52</v>
      </c>
      <c r="BP3" s="8">
        <v>7.27</v>
      </c>
      <c r="BQ3" s="30">
        <f t="shared" ref="BQ3:BQ66" si="35">(BP3-BO3)/BO3*100</f>
        <v>-3.3244680851063828</v>
      </c>
      <c r="BR3" s="7">
        <v>3.93</v>
      </c>
      <c r="BS3" s="8">
        <v>3.79</v>
      </c>
      <c r="BT3" s="30">
        <f t="shared" ref="BT3:BT66" si="36">(BS3-BR3)/BR3*100</f>
        <v>-3.5623409669211221</v>
      </c>
      <c r="BU3" s="7">
        <f t="shared" si="0"/>
        <v>3.5899999999999994</v>
      </c>
      <c r="BV3" s="7">
        <f t="shared" si="1"/>
        <v>3.4799999999999995</v>
      </c>
      <c r="BW3" s="30">
        <f t="shared" ref="BW3:BW66" si="37">(BV3-BU3)/BU3*100</f>
        <v>-3.0640668523676853</v>
      </c>
      <c r="BX3" s="7">
        <v>268</v>
      </c>
      <c r="BY3" s="8">
        <v>232</v>
      </c>
      <c r="BZ3" s="30">
        <f t="shared" ref="BZ3:BZ66" si="38">(BY3-BX3)/BX3*100</f>
        <v>-13.432835820895523</v>
      </c>
      <c r="CA3" s="7">
        <v>62</v>
      </c>
      <c r="CB3" s="8">
        <v>71</v>
      </c>
      <c r="CC3" s="30">
        <f t="shared" ref="CC3:CC66" si="39">(CB3-CA3)/CA3*100</f>
        <v>14.516129032258066</v>
      </c>
      <c r="CD3" s="7">
        <f t="shared" si="2"/>
        <v>173.6</v>
      </c>
      <c r="CE3" s="7">
        <f t="shared" si="3"/>
        <v>140.6</v>
      </c>
      <c r="CF3" s="30">
        <f t="shared" ref="CF3:CF66" si="40">(CE3-CD3)/CD3*100</f>
        <v>-19.009216589861751</v>
      </c>
      <c r="CG3" s="7">
        <v>162</v>
      </c>
      <c r="CH3" s="8">
        <v>102</v>
      </c>
      <c r="CI3" s="30">
        <f t="shared" ref="CI3:CI66" si="41">(CH3-CG3)/CG3*100</f>
        <v>-37.037037037037038</v>
      </c>
      <c r="CJ3" s="7">
        <v>6.3</v>
      </c>
      <c r="CK3" s="8">
        <v>5.0999999999999996</v>
      </c>
      <c r="CL3" s="30">
        <f t="shared" ref="CL3:CL66" si="42">(CK3-CJ3)/CJ3*100</f>
        <v>-19.047619047619051</v>
      </c>
      <c r="CM3" s="7">
        <v>17.399999999999999</v>
      </c>
      <c r="CN3" s="10" t="s">
        <v>148</v>
      </c>
      <c r="CO3" s="30" t="e">
        <f t="shared" ref="CO3:CO66" si="43">(CN3-CM3)/CM3*100</f>
        <v>#VALUE!</v>
      </c>
      <c r="CP3" s="7">
        <v>32.6</v>
      </c>
      <c r="CQ3" s="10" t="s">
        <v>149</v>
      </c>
      <c r="CR3" s="7">
        <v>38</v>
      </c>
      <c r="CS3" s="8">
        <v>35</v>
      </c>
      <c r="CT3" s="7">
        <f t="shared" si="4"/>
        <v>4.1552238805970143</v>
      </c>
      <c r="CU3" s="7" t="e">
        <f t="shared" si="5"/>
        <v>#VALUE!</v>
      </c>
      <c r="CV3" s="30" t="e">
        <f t="shared" ref="CV3:CV66" si="44">(CU3-CT3)/CT3*100</f>
        <v>#VALUE!</v>
      </c>
      <c r="CW3" s="6">
        <f t="shared" si="6"/>
        <v>1.654320987654321</v>
      </c>
      <c r="CX3" s="6">
        <f t="shared" si="7"/>
        <v>2.2745098039215685</v>
      </c>
      <c r="CY3" s="6">
        <f t="shared" si="8"/>
        <v>1.0716049382716049</v>
      </c>
      <c r="CZ3" s="6">
        <f t="shared" si="9"/>
        <v>1.3784313725490196</v>
      </c>
      <c r="DA3" s="6">
        <f t="shared" si="10"/>
        <v>4.32258064516129</v>
      </c>
      <c r="DB3" s="6">
        <f t="shared" si="11"/>
        <v>3.267605633802817</v>
      </c>
      <c r="DC3" s="6">
        <f t="shared" si="12"/>
        <v>2.8</v>
      </c>
      <c r="DD3" s="6">
        <f t="shared" si="13"/>
        <v>1.9802816901408451</v>
      </c>
      <c r="DE3" s="6">
        <f t="shared" si="14"/>
        <v>206</v>
      </c>
      <c r="DF3" s="6">
        <f t="shared" si="15"/>
        <v>161</v>
      </c>
      <c r="DG3" s="6">
        <v>32.9</v>
      </c>
      <c r="DH3" s="6">
        <v>30.1</v>
      </c>
      <c r="DI3" s="6">
        <v>199</v>
      </c>
      <c r="DJ3" s="6">
        <v>240.02</v>
      </c>
      <c r="DK3" s="6">
        <v>112.23</v>
      </c>
      <c r="DL3" s="6">
        <v>84.25</v>
      </c>
      <c r="DM3" s="30">
        <f t="shared" ref="DM3:DM65" si="45">(DL3-DK3)/DK3*100</f>
        <v>-24.930945380023172</v>
      </c>
      <c r="DN3" s="6">
        <v>1020.49</v>
      </c>
      <c r="DO3" s="6">
        <v>1157.1400000000001</v>
      </c>
      <c r="DP3" s="30">
        <f t="shared" ref="DP3:DP65" si="46">(DO3-DN3)/DN3*100</f>
        <v>13.390626071789052</v>
      </c>
      <c r="DQ3" s="6">
        <v>7.75</v>
      </c>
      <c r="DR3" s="6">
        <v>6.08</v>
      </c>
      <c r="DS3" s="30">
        <f t="shared" ref="DS3:DS65" si="47">(DR3-DQ3)/DQ3*100</f>
        <v>-21.548387096774192</v>
      </c>
      <c r="DT3" s="7">
        <v>549.32000000000005</v>
      </c>
      <c r="DU3" s="7">
        <v>534.05999999999995</v>
      </c>
      <c r="DV3" s="30">
        <f t="shared" ref="DV3:DV65" si="48">(DU3-DT3)/DT3*100</f>
        <v>-2.7779800480594377</v>
      </c>
      <c r="DW3" s="6">
        <v>0.33300000000000002</v>
      </c>
      <c r="DX3" s="6">
        <v>0.41</v>
      </c>
      <c r="DY3" s="30">
        <f t="shared" ref="DY3:DY65" si="49">(DX3-DW3)/DW3*100</f>
        <v>23.123123123123111</v>
      </c>
      <c r="DZ3" s="6">
        <v>725095.56</v>
      </c>
      <c r="EA3" s="6">
        <v>3171136.42</v>
      </c>
      <c r="EB3" s="30">
        <f t="shared" ref="EB3:EB65" si="50">(EA3-DZ3)/DZ3*100</f>
        <v>337.34048240482946</v>
      </c>
      <c r="EC3" s="6">
        <v>0.38</v>
      </c>
      <c r="ED3" s="6">
        <v>1.06</v>
      </c>
      <c r="EE3" s="30">
        <f t="shared" ref="EE3:EE65" si="51">(ED3-EC3)/EC3*100</f>
        <v>178.94736842105263</v>
      </c>
      <c r="EF3" s="6">
        <f t="shared" si="16"/>
        <v>161.98253968253968</v>
      </c>
      <c r="EG3" s="6">
        <f t="shared" si="17"/>
        <v>178.02153846153848</v>
      </c>
      <c r="EH3" s="6">
        <v>30.32</v>
      </c>
      <c r="EI3" s="6">
        <v>52.86</v>
      </c>
      <c r="EJ3" s="30">
        <f t="shared" ref="EJ3:EJ65" si="52">(EI3-EH3)/EH3*100</f>
        <v>74.340369393139838</v>
      </c>
      <c r="EK3" s="6">
        <v>48.65</v>
      </c>
      <c r="EL3" s="6">
        <v>30.42</v>
      </c>
      <c r="EM3" s="30">
        <f t="shared" ref="EM3:EM65" si="53">(EL3-EK3)/EK3*100</f>
        <v>-37.471736896197321</v>
      </c>
    </row>
    <row r="4" spans="1:143">
      <c r="A4" s="5">
        <v>12</v>
      </c>
      <c r="B4" s="6">
        <v>1</v>
      </c>
      <c r="C4" s="6">
        <v>1</v>
      </c>
      <c r="D4" s="6">
        <v>47</v>
      </c>
      <c r="E4" s="6">
        <v>1</v>
      </c>
      <c r="F4" s="6" t="s">
        <v>150</v>
      </c>
      <c r="G4" s="6">
        <v>1</v>
      </c>
      <c r="H4" s="6">
        <v>1</v>
      </c>
      <c r="I4" s="6">
        <v>65.3</v>
      </c>
      <c r="J4" s="6">
        <v>67.099999999999994</v>
      </c>
      <c r="K4" s="30">
        <f t="shared" si="18"/>
        <v>2.7565084226646204</v>
      </c>
      <c r="L4" s="6">
        <v>1.55</v>
      </c>
      <c r="M4" s="6">
        <v>1.55</v>
      </c>
      <c r="N4" s="6">
        <v>27.2</v>
      </c>
      <c r="O4" s="6">
        <v>27.95</v>
      </c>
      <c r="P4" s="30">
        <f t="shared" si="19"/>
        <v>2.7573529411764706</v>
      </c>
      <c r="Q4" s="6">
        <v>86</v>
      </c>
      <c r="R4" s="6">
        <v>82.5</v>
      </c>
      <c r="S4" s="30">
        <f t="shared" si="20"/>
        <v>-4.0697674418604652</v>
      </c>
      <c r="T4" s="6">
        <v>94</v>
      </c>
      <c r="U4" s="6">
        <v>93</v>
      </c>
      <c r="V4" s="30">
        <f t="shared" si="21"/>
        <v>-1.0638297872340425</v>
      </c>
      <c r="W4" s="6">
        <v>103</v>
      </c>
      <c r="X4" s="6">
        <v>104</v>
      </c>
      <c r="Y4" s="30">
        <f t="shared" si="22"/>
        <v>0.97087378640776689</v>
      </c>
      <c r="Z4" s="6">
        <v>122</v>
      </c>
      <c r="AA4" s="6">
        <v>105</v>
      </c>
      <c r="AB4" s="30">
        <f t="shared" si="23"/>
        <v>-13.934426229508196</v>
      </c>
      <c r="AC4" s="6">
        <v>83</v>
      </c>
      <c r="AD4" s="6">
        <v>80</v>
      </c>
      <c r="AE4" s="30">
        <f t="shared" si="24"/>
        <v>-3.6144578313253009</v>
      </c>
      <c r="AF4" s="6">
        <v>22.4</v>
      </c>
      <c r="AG4" s="6">
        <v>35.6</v>
      </c>
      <c r="AH4" s="30">
        <f t="shared" si="25"/>
        <v>58.928571428571445</v>
      </c>
      <c r="AI4" s="6">
        <v>432</v>
      </c>
      <c r="AJ4" s="6">
        <v>490</v>
      </c>
      <c r="AK4" s="30">
        <f t="shared" si="26"/>
        <v>13.425925925925927</v>
      </c>
      <c r="AL4" s="6">
        <v>32</v>
      </c>
      <c r="AM4" s="6">
        <v>36</v>
      </c>
      <c r="AN4" s="7">
        <v>109</v>
      </c>
      <c r="AO4" s="8">
        <v>102</v>
      </c>
      <c r="AP4" s="30">
        <f t="shared" si="27"/>
        <v>-6.4220183486238538</v>
      </c>
      <c r="AQ4" s="7">
        <v>27</v>
      </c>
      <c r="AR4" s="8">
        <v>30</v>
      </c>
      <c r="AS4" s="30">
        <f t="shared" si="28"/>
        <v>11.111111111111111</v>
      </c>
      <c r="AT4" s="7">
        <v>0.72</v>
      </c>
      <c r="AU4" s="11">
        <v>0.79</v>
      </c>
      <c r="AV4" s="30">
        <f t="shared" si="29"/>
        <v>9.7222222222222303</v>
      </c>
      <c r="AW4" s="7">
        <v>0.92</v>
      </c>
      <c r="AX4" s="11">
        <v>0.7</v>
      </c>
      <c r="AY4" s="30">
        <f t="shared" si="30"/>
        <v>-23.913043478260878</v>
      </c>
      <c r="AZ4" s="7">
        <v>0.15</v>
      </c>
      <c r="BA4" s="11">
        <v>0.18</v>
      </c>
      <c r="BB4" s="30">
        <f t="shared" si="31"/>
        <v>20</v>
      </c>
      <c r="BC4" s="7">
        <f t="shared" ref="BC4:BC39" si="54">AW4-AZ4</f>
        <v>0.77</v>
      </c>
      <c r="BD4" s="7">
        <f t="shared" si="32"/>
        <v>0.52</v>
      </c>
      <c r="BE4" s="30">
        <f t="shared" si="33"/>
        <v>-32.467532467532465</v>
      </c>
      <c r="BF4" s="7">
        <v>24</v>
      </c>
      <c r="BG4" s="8">
        <v>26</v>
      </c>
      <c r="BH4" s="7">
        <v>15</v>
      </c>
      <c r="BI4" s="8">
        <v>19</v>
      </c>
      <c r="BJ4" s="7">
        <v>18</v>
      </c>
      <c r="BK4" s="8">
        <v>32</v>
      </c>
      <c r="BL4" s="7">
        <v>4</v>
      </c>
      <c r="BM4" s="9">
        <v>4</v>
      </c>
      <c r="BN4" s="30">
        <f t="shared" si="34"/>
        <v>0</v>
      </c>
      <c r="BO4" s="7">
        <v>7.69</v>
      </c>
      <c r="BP4" s="11">
        <v>7.1</v>
      </c>
      <c r="BQ4" s="30">
        <f t="shared" si="35"/>
        <v>-7.6723016905071617</v>
      </c>
      <c r="BR4" s="7">
        <v>3.88</v>
      </c>
      <c r="BS4" s="11">
        <v>3.73</v>
      </c>
      <c r="BT4" s="30">
        <f t="shared" si="36"/>
        <v>-3.8659793814432972</v>
      </c>
      <c r="BU4" s="7">
        <f t="shared" si="0"/>
        <v>3.8100000000000005</v>
      </c>
      <c r="BV4" s="7">
        <f t="shared" si="1"/>
        <v>3.3699999999999997</v>
      </c>
      <c r="BW4" s="30">
        <f t="shared" si="37"/>
        <v>-11.548556430446215</v>
      </c>
      <c r="BX4" s="7">
        <v>181</v>
      </c>
      <c r="BY4" s="8">
        <v>208</v>
      </c>
      <c r="BZ4" s="30">
        <f t="shared" si="38"/>
        <v>14.917127071823206</v>
      </c>
      <c r="CA4" s="7">
        <v>33</v>
      </c>
      <c r="CB4" s="8">
        <v>32</v>
      </c>
      <c r="CC4" s="30">
        <f t="shared" si="39"/>
        <v>-3.0303030303030303</v>
      </c>
      <c r="CD4" s="7">
        <f t="shared" si="2"/>
        <v>118.6</v>
      </c>
      <c r="CE4" s="7">
        <f t="shared" si="3"/>
        <v>142.6</v>
      </c>
      <c r="CF4" s="30">
        <f t="shared" si="40"/>
        <v>20.236087689713322</v>
      </c>
      <c r="CG4" s="7">
        <v>147</v>
      </c>
      <c r="CH4" s="8">
        <v>167</v>
      </c>
      <c r="CI4" s="30">
        <f t="shared" si="41"/>
        <v>13.605442176870749</v>
      </c>
      <c r="CJ4" s="7">
        <v>46.6</v>
      </c>
      <c r="CK4" s="9">
        <v>3.7</v>
      </c>
      <c r="CL4" s="30">
        <f t="shared" si="42"/>
        <v>-92.060085836909863</v>
      </c>
      <c r="CM4" s="7">
        <v>5.4</v>
      </c>
      <c r="CN4" s="8">
        <v>7.1</v>
      </c>
      <c r="CO4" s="30">
        <f t="shared" si="43"/>
        <v>31.481481481481467</v>
      </c>
      <c r="CP4" s="7">
        <v>32.4</v>
      </c>
      <c r="CQ4" s="8">
        <v>19.3</v>
      </c>
      <c r="CR4" s="7">
        <v>29.7</v>
      </c>
      <c r="CS4" s="8">
        <v>45.3</v>
      </c>
      <c r="CT4" s="7">
        <f t="shared" si="4"/>
        <v>1.464179104477612</v>
      </c>
      <c r="CU4" s="7">
        <f t="shared" si="5"/>
        <v>1.8014925373134327</v>
      </c>
      <c r="CV4" s="30">
        <f t="shared" si="44"/>
        <v>23.037716615698255</v>
      </c>
      <c r="CW4" s="6">
        <f t="shared" si="6"/>
        <v>1.2312925170068028</v>
      </c>
      <c r="CX4" s="6">
        <f t="shared" si="7"/>
        <v>1.2455089820359282</v>
      </c>
      <c r="CY4" s="6">
        <f t="shared" si="8"/>
        <v>0.80680272108843532</v>
      </c>
      <c r="CZ4" s="6">
        <f t="shared" si="9"/>
        <v>0.85389221556886219</v>
      </c>
      <c r="DA4" s="6">
        <f t="shared" si="10"/>
        <v>5.4848484848484844</v>
      </c>
      <c r="DB4" s="6">
        <f t="shared" si="11"/>
        <v>6.5</v>
      </c>
      <c r="DC4" s="6">
        <f t="shared" si="12"/>
        <v>3.5939393939393938</v>
      </c>
      <c r="DD4" s="6">
        <f t="shared" si="13"/>
        <v>4.4562499999999998</v>
      </c>
      <c r="DE4" s="6">
        <f t="shared" si="14"/>
        <v>148</v>
      </c>
      <c r="DF4" s="6">
        <f t="shared" si="15"/>
        <v>176</v>
      </c>
      <c r="DG4" s="6">
        <v>29.5</v>
      </c>
      <c r="DH4" s="6">
        <v>30.4</v>
      </c>
      <c r="DI4" s="6">
        <v>409.99</v>
      </c>
      <c r="DJ4" s="6">
        <v>300.56</v>
      </c>
      <c r="DK4" s="6">
        <v>69.12</v>
      </c>
      <c r="DL4" s="6">
        <v>83.98</v>
      </c>
      <c r="DM4" s="30">
        <f t="shared" si="45"/>
        <v>21.498842592592592</v>
      </c>
      <c r="DN4" s="6">
        <v>896.88</v>
      </c>
      <c r="DO4" s="6">
        <v>852.77</v>
      </c>
      <c r="DP4" s="30">
        <f t="shared" si="46"/>
        <v>-4.9181607349924192</v>
      </c>
      <c r="DQ4" s="6">
        <v>6.56</v>
      </c>
      <c r="DR4" s="6">
        <v>5.05</v>
      </c>
      <c r="DS4" s="30">
        <f t="shared" si="47"/>
        <v>-23.018292682926827</v>
      </c>
      <c r="DT4" s="7">
        <v>160.63999999999999</v>
      </c>
      <c r="DU4" s="7">
        <v>434.26</v>
      </c>
      <c r="DV4" s="30">
        <f t="shared" si="48"/>
        <v>170.33117529880479</v>
      </c>
      <c r="DW4" s="6">
        <v>0.56999999999999995</v>
      </c>
      <c r="DX4" s="6">
        <v>0.52900000000000003</v>
      </c>
      <c r="DY4" s="30">
        <f t="shared" si="49"/>
        <v>-7.1929824561403386</v>
      </c>
      <c r="DZ4" s="6">
        <v>839617.53</v>
      </c>
      <c r="EA4" s="6">
        <v>2822274.91</v>
      </c>
      <c r="EB4" s="30">
        <f t="shared" si="50"/>
        <v>236.13815924019596</v>
      </c>
      <c r="EC4" s="6">
        <v>0.38</v>
      </c>
      <c r="ED4" s="5">
        <v>0.13600000000000001</v>
      </c>
      <c r="EE4" s="30">
        <f t="shared" si="51"/>
        <v>-64.21052631578948</v>
      </c>
      <c r="EF4" s="6">
        <f t="shared" si="16"/>
        <v>224.22</v>
      </c>
      <c r="EG4" s="6">
        <f t="shared" si="17"/>
        <v>213.1925</v>
      </c>
      <c r="EH4" s="6">
        <v>43.68</v>
      </c>
      <c r="EI4" s="6">
        <v>46.27</v>
      </c>
      <c r="EJ4" s="30">
        <f t="shared" si="52"/>
        <v>5.9294871794871877</v>
      </c>
      <c r="EK4" s="6">
        <v>49.49</v>
      </c>
      <c r="EL4" s="6">
        <v>46.41</v>
      </c>
      <c r="EM4" s="30">
        <f t="shared" si="53"/>
        <v>-6.2234794908062341</v>
      </c>
    </row>
    <row r="5" spans="1:143">
      <c r="A5" s="5">
        <v>13</v>
      </c>
      <c r="B5" s="6">
        <v>1</v>
      </c>
      <c r="C5" s="6">
        <v>1</v>
      </c>
      <c r="D5" s="6">
        <v>67</v>
      </c>
      <c r="E5" s="6">
        <v>2</v>
      </c>
      <c r="F5" s="6" t="s">
        <v>151</v>
      </c>
      <c r="G5" s="6">
        <v>2</v>
      </c>
      <c r="H5" s="6">
        <v>1</v>
      </c>
      <c r="I5" s="6">
        <v>81.5</v>
      </c>
      <c r="J5" s="6">
        <v>86.7</v>
      </c>
      <c r="K5" s="30">
        <f t="shared" si="18"/>
        <v>6.3803680981595123</v>
      </c>
      <c r="L5" s="6">
        <v>1.71</v>
      </c>
      <c r="M5" s="6">
        <v>1.71</v>
      </c>
      <c r="N5" s="6">
        <v>27.91</v>
      </c>
      <c r="O5" s="6">
        <v>29.6</v>
      </c>
      <c r="P5" s="30">
        <f t="shared" si="19"/>
        <v>6.0551773557864612</v>
      </c>
      <c r="Q5" s="6">
        <v>97</v>
      </c>
      <c r="R5" s="6">
        <v>100</v>
      </c>
      <c r="S5" s="30">
        <f t="shared" si="20"/>
        <v>3.0927835051546393</v>
      </c>
      <c r="T5" s="6">
        <v>108</v>
      </c>
      <c r="U5" s="6">
        <v>113</v>
      </c>
      <c r="V5" s="30">
        <f t="shared" si="21"/>
        <v>4.6296296296296298</v>
      </c>
      <c r="W5" s="6">
        <v>102</v>
      </c>
      <c r="X5" s="6">
        <v>102</v>
      </c>
      <c r="Y5" s="30">
        <f t="shared" si="22"/>
        <v>0</v>
      </c>
      <c r="Z5" s="6">
        <v>147</v>
      </c>
      <c r="AA5" s="6">
        <v>130</v>
      </c>
      <c r="AB5" s="30">
        <f t="shared" si="23"/>
        <v>-11.564625850340136</v>
      </c>
      <c r="AC5" s="6">
        <v>75</v>
      </c>
      <c r="AD5" s="6">
        <v>80</v>
      </c>
      <c r="AE5" s="30">
        <f t="shared" si="24"/>
        <v>6.666666666666667</v>
      </c>
      <c r="AF5" s="6">
        <v>27.7</v>
      </c>
      <c r="AG5" s="6">
        <v>29.9</v>
      </c>
      <c r="AH5" s="30">
        <f t="shared" si="25"/>
        <v>7.9422382671480118</v>
      </c>
      <c r="AI5" s="6">
        <v>422</v>
      </c>
      <c r="AJ5" s="6">
        <v>409</v>
      </c>
      <c r="AK5" s="30">
        <f t="shared" si="26"/>
        <v>-3.080568720379147</v>
      </c>
      <c r="AL5" s="6">
        <v>35</v>
      </c>
      <c r="AM5" s="6">
        <v>40</v>
      </c>
      <c r="AN5" s="7">
        <v>103</v>
      </c>
      <c r="AO5" s="8">
        <v>116</v>
      </c>
      <c r="AP5" s="30">
        <f t="shared" si="27"/>
        <v>12.621359223300971</v>
      </c>
      <c r="AQ5" s="7">
        <v>22</v>
      </c>
      <c r="AR5" s="8">
        <v>24</v>
      </c>
      <c r="AS5" s="30">
        <f t="shared" si="28"/>
        <v>9.0909090909090917</v>
      </c>
      <c r="AT5" s="7">
        <v>0.72</v>
      </c>
      <c r="AU5" s="11">
        <v>0.78</v>
      </c>
      <c r="AV5" s="30">
        <f t="shared" si="29"/>
        <v>8.333333333333341</v>
      </c>
      <c r="AW5" s="7">
        <v>0.46</v>
      </c>
      <c r="AX5" s="11">
        <v>0.37</v>
      </c>
      <c r="AY5" s="30">
        <f t="shared" si="30"/>
        <v>-19.565217391304351</v>
      </c>
      <c r="AZ5" s="7">
        <v>0.09</v>
      </c>
      <c r="BA5" s="11">
        <v>0.15</v>
      </c>
      <c r="BB5" s="30">
        <f t="shared" si="31"/>
        <v>66.666666666666657</v>
      </c>
      <c r="BC5" s="7">
        <f t="shared" si="54"/>
        <v>0.37</v>
      </c>
      <c r="BD5" s="7">
        <f t="shared" si="32"/>
        <v>0.22</v>
      </c>
      <c r="BE5" s="30">
        <f t="shared" si="33"/>
        <v>-40.54054054054054</v>
      </c>
      <c r="BF5" s="7">
        <v>34</v>
      </c>
      <c r="BG5" s="8">
        <v>40</v>
      </c>
      <c r="BH5" s="7">
        <v>16</v>
      </c>
      <c r="BI5" s="8">
        <v>18</v>
      </c>
      <c r="BJ5" s="7">
        <v>20</v>
      </c>
      <c r="BK5" s="8">
        <v>20</v>
      </c>
      <c r="BL5" s="7">
        <v>6.5</v>
      </c>
      <c r="BM5" s="9">
        <v>6.8</v>
      </c>
      <c r="BN5" s="30">
        <f t="shared" si="34"/>
        <v>4.6153846153846132</v>
      </c>
      <c r="BO5" s="7">
        <v>7.75</v>
      </c>
      <c r="BP5" s="11">
        <v>7.4</v>
      </c>
      <c r="BQ5" s="30">
        <f t="shared" si="35"/>
        <v>-4.5161290322580605</v>
      </c>
      <c r="BR5" s="7">
        <v>4.17</v>
      </c>
      <c r="BS5" s="11">
        <v>3.82</v>
      </c>
      <c r="BT5" s="30">
        <f t="shared" si="36"/>
        <v>-8.393285371702639</v>
      </c>
      <c r="BU5" s="7">
        <f t="shared" si="0"/>
        <v>3.58</v>
      </c>
      <c r="BV5" s="7">
        <f t="shared" si="1"/>
        <v>3.5800000000000005</v>
      </c>
      <c r="BW5" s="30">
        <f t="shared" si="37"/>
        <v>1.2404726532124654E-14</v>
      </c>
      <c r="BX5" s="7">
        <v>148</v>
      </c>
      <c r="BY5" s="8">
        <v>127</v>
      </c>
      <c r="BZ5" s="30">
        <f t="shared" si="38"/>
        <v>-14.189189189189189</v>
      </c>
      <c r="CA5" s="7">
        <v>32</v>
      </c>
      <c r="CB5" s="8">
        <v>26</v>
      </c>
      <c r="CC5" s="30">
        <f t="shared" si="39"/>
        <v>-18.75</v>
      </c>
      <c r="CD5" s="7">
        <f t="shared" si="2"/>
        <v>79.599999999999994</v>
      </c>
      <c r="CE5" s="7">
        <f t="shared" si="3"/>
        <v>75.8</v>
      </c>
      <c r="CF5" s="30">
        <f t="shared" si="40"/>
        <v>-4.7738693467336653</v>
      </c>
      <c r="CG5" s="7">
        <v>182</v>
      </c>
      <c r="CH5" s="8">
        <v>126</v>
      </c>
      <c r="CI5" s="30">
        <f t="shared" si="41"/>
        <v>-30.76923076923077</v>
      </c>
      <c r="CJ5" s="7">
        <v>24.3</v>
      </c>
      <c r="CK5" s="9">
        <v>32.5</v>
      </c>
      <c r="CL5" s="30">
        <f t="shared" si="42"/>
        <v>33.744855967078188</v>
      </c>
      <c r="CM5" s="7">
        <v>10.8</v>
      </c>
      <c r="CN5" s="34">
        <v>36.5</v>
      </c>
      <c r="CO5" s="30">
        <f t="shared" si="43"/>
        <v>237.96296296296293</v>
      </c>
      <c r="CP5" s="7">
        <v>31.4</v>
      </c>
      <c r="CQ5" s="8">
        <v>18.7</v>
      </c>
      <c r="CR5" s="7">
        <v>58.3</v>
      </c>
      <c r="CS5" s="8">
        <v>62.6</v>
      </c>
      <c r="CT5" s="7">
        <f t="shared" si="4"/>
        <v>2.7671641791044777</v>
      </c>
      <c r="CU5" s="35">
        <f t="shared" si="5"/>
        <v>10.532338308457712</v>
      </c>
      <c r="CV5" s="30">
        <f t="shared" si="44"/>
        <v>280.61848256023012</v>
      </c>
      <c r="CW5" s="6">
        <f t="shared" si="6"/>
        <v>0.81318681318681318</v>
      </c>
      <c r="CX5" s="6">
        <f t="shared" si="7"/>
        <v>1.0079365079365079</v>
      </c>
      <c r="CY5" s="6">
        <f t="shared" si="8"/>
        <v>0.43736263736263731</v>
      </c>
      <c r="CZ5" s="6">
        <f t="shared" si="9"/>
        <v>0.60158730158730156</v>
      </c>
      <c r="DA5" s="6">
        <f t="shared" si="10"/>
        <v>4.625</v>
      </c>
      <c r="DB5" s="6">
        <f t="shared" si="11"/>
        <v>4.884615384615385</v>
      </c>
      <c r="DC5" s="6">
        <f t="shared" si="12"/>
        <v>2.4874999999999998</v>
      </c>
      <c r="DD5" s="6">
        <f t="shared" si="13"/>
        <v>2.9153846153846152</v>
      </c>
      <c r="DE5" s="6">
        <f t="shared" si="14"/>
        <v>116</v>
      </c>
      <c r="DF5" s="6">
        <f t="shared" si="15"/>
        <v>101</v>
      </c>
      <c r="DG5" s="6">
        <v>25.1</v>
      </c>
      <c r="DH5" s="6">
        <v>15.5</v>
      </c>
      <c r="DI5" s="6">
        <v>401.82</v>
      </c>
      <c r="DJ5" s="6">
        <v>264.35000000000002</v>
      </c>
      <c r="DK5" s="6">
        <v>78.86</v>
      </c>
      <c r="DL5" s="6">
        <v>50.84</v>
      </c>
      <c r="DM5" s="30">
        <f t="shared" si="45"/>
        <v>-35.531321328937352</v>
      </c>
      <c r="DN5" s="6">
        <v>1072.79</v>
      </c>
      <c r="DO5" s="6">
        <v>1055.1099999999999</v>
      </c>
      <c r="DP5" s="30">
        <f t="shared" si="46"/>
        <v>-1.6480392248249951</v>
      </c>
      <c r="DQ5" s="6">
        <v>7.51</v>
      </c>
      <c r="DR5" s="6">
        <v>7.73</v>
      </c>
      <c r="DS5" s="30">
        <f t="shared" si="47"/>
        <v>2.9294274300932175</v>
      </c>
      <c r="DT5" s="7">
        <v>180.93</v>
      </c>
      <c r="DU5" s="7">
        <v>455.86</v>
      </c>
      <c r="DV5" s="30">
        <f t="shared" si="48"/>
        <v>151.95379428508261</v>
      </c>
      <c r="DW5" s="6">
        <v>0.63</v>
      </c>
      <c r="DX5" s="6">
        <v>0.46400000000000002</v>
      </c>
      <c r="DY5" s="30">
        <f t="shared" si="49"/>
        <v>-26.349206349206344</v>
      </c>
      <c r="DZ5" s="6">
        <v>511558.15</v>
      </c>
      <c r="EA5" s="6">
        <v>1302644.4099999999</v>
      </c>
      <c r="EB5" s="30">
        <f t="shared" si="50"/>
        <v>154.6424898127417</v>
      </c>
      <c r="EC5" s="6">
        <v>4.47</v>
      </c>
      <c r="ED5" s="6">
        <v>4.13</v>
      </c>
      <c r="EE5" s="30">
        <f t="shared" si="51"/>
        <v>-7.606263982102905</v>
      </c>
      <c r="EF5" s="6">
        <f t="shared" si="16"/>
        <v>165.04461538461538</v>
      </c>
      <c r="EG5" s="6">
        <f t="shared" si="17"/>
        <v>155.16323529411764</v>
      </c>
      <c r="EH5" s="6">
        <v>45.78</v>
      </c>
      <c r="EI5" s="6">
        <v>34.630000000000003</v>
      </c>
      <c r="EJ5" s="30">
        <f t="shared" si="52"/>
        <v>-24.355613805155084</v>
      </c>
      <c r="EK5" s="6">
        <v>36.479999999999997</v>
      </c>
      <c r="EL5" s="6">
        <v>44.69</v>
      </c>
      <c r="EM5" s="30">
        <f t="shared" si="53"/>
        <v>22.505482456140356</v>
      </c>
    </row>
    <row r="6" spans="1:143">
      <c r="A6" s="5">
        <v>23</v>
      </c>
      <c r="B6" s="6">
        <v>1</v>
      </c>
      <c r="C6" s="6">
        <v>1</v>
      </c>
      <c r="D6" s="6">
        <v>51</v>
      </c>
      <c r="E6" s="6">
        <v>1</v>
      </c>
      <c r="F6" s="6" t="s">
        <v>152</v>
      </c>
      <c r="G6" s="6">
        <v>2</v>
      </c>
      <c r="H6" s="6">
        <v>1</v>
      </c>
      <c r="I6" s="6">
        <v>103.8</v>
      </c>
      <c r="J6" s="6">
        <v>105.6</v>
      </c>
      <c r="K6" s="30">
        <f t="shared" si="18"/>
        <v>1.7341040462427719</v>
      </c>
      <c r="L6" s="6">
        <v>1.63</v>
      </c>
      <c r="M6" s="6">
        <v>1.63</v>
      </c>
      <c r="N6" s="6">
        <v>39.06</v>
      </c>
      <c r="O6" s="6">
        <v>39.799999999999997</v>
      </c>
      <c r="P6" s="30">
        <f t="shared" si="19"/>
        <v>1.8945212493599459</v>
      </c>
      <c r="Q6" s="6">
        <v>115</v>
      </c>
      <c r="R6" s="6">
        <v>105</v>
      </c>
      <c r="S6" s="30">
        <f t="shared" si="20"/>
        <v>-8.695652173913043</v>
      </c>
      <c r="T6" s="6">
        <v>127</v>
      </c>
      <c r="U6" s="6">
        <v>133</v>
      </c>
      <c r="V6" s="30">
        <f t="shared" si="21"/>
        <v>4.7244094488188972</v>
      </c>
      <c r="W6" s="6">
        <v>136</v>
      </c>
      <c r="X6" s="6">
        <v>131</v>
      </c>
      <c r="Y6" s="30">
        <f t="shared" si="22"/>
        <v>-3.6764705882352944</v>
      </c>
      <c r="Z6" s="6">
        <v>145</v>
      </c>
      <c r="AA6" s="6">
        <v>150</v>
      </c>
      <c r="AB6" s="30">
        <f t="shared" si="23"/>
        <v>3.4482758620689653</v>
      </c>
      <c r="AC6" s="6">
        <v>100</v>
      </c>
      <c r="AD6" s="6">
        <v>95</v>
      </c>
      <c r="AE6" s="30">
        <f t="shared" si="24"/>
        <v>-5</v>
      </c>
      <c r="AF6" s="6">
        <v>48.3</v>
      </c>
      <c r="AG6" s="6">
        <v>48.5</v>
      </c>
      <c r="AH6" s="30">
        <f t="shared" si="25"/>
        <v>0.41407867494824607</v>
      </c>
      <c r="AI6" s="6">
        <v>427</v>
      </c>
      <c r="AJ6" s="6">
        <v>415</v>
      </c>
      <c r="AK6" s="30">
        <f t="shared" si="26"/>
        <v>-2.810304449648712</v>
      </c>
      <c r="AL6" s="6">
        <v>47</v>
      </c>
      <c r="AM6" s="6">
        <v>49</v>
      </c>
      <c r="AN6" s="7">
        <v>125</v>
      </c>
      <c r="AO6" s="8">
        <v>129</v>
      </c>
      <c r="AP6" s="30">
        <f t="shared" si="27"/>
        <v>3.2</v>
      </c>
      <c r="AQ6" s="7">
        <v>23</v>
      </c>
      <c r="AR6" s="8">
        <v>19</v>
      </c>
      <c r="AS6" s="30">
        <f t="shared" si="28"/>
        <v>-17.391304347826086</v>
      </c>
      <c r="AT6" s="7">
        <v>0.72</v>
      </c>
      <c r="AU6" s="11">
        <v>0.71</v>
      </c>
      <c r="AV6" s="30">
        <f t="shared" si="29"/>
        <v>-1.3888888888888902</v>
      </c>
      <c r="AW6" s="7">
        <v>0.54</v>
      </c>
      <c r="AX6" s="11">
        <v>0.65</v>
      </c>
      <c r="AY6" s="30">
        <f t="shared" si="30"/>
        <v>20.370370370370367</v>
      </c>
      <c r="AZ6" s="7">
        <v>0.13</v>
      </c>
      <c r="BA6" s="11">
        <v>0.19</v>
      </c>
      <c r="BB6" s="30">
        <f t="shared" si="31"/>
        <v>46.153846153846153</v>
      </c>
      <c r="BC6" s="7">
        <f t="shared" si="54"/>
        <v>0.41000000000000003</v>
      </c>
      <c r="BD6" s="7">
        <f t="shared" si="32"/>
        <v>0.46</v>
      </c>
      <c r="BE6" s="30">
        <f t="shared" si="33"/>
        <v>12.195121951219509</v>
      </c>
      <c r="BF6" s="7">
        <v>30</v>
      </c>
      <c r="BG6" s="8">
        <v>37</v>
      </c>
      <c r="BH6" s="7">
        <v>14</v>
      </c>
      <c r="BI6" s="8">
        <v>15</v>
      </c>
      <c r="BJ6" s="7">
        <v>21</v>
      </c>
      <c r="BK6" s="8">
        <v>33</v>
      </c>
      <c r="BL6" s="7">
        <v>4.7</v>
      </c>
      <c r="BM6" s="9">
        <v>4.5</v>
      </c>
      <c r="BN6" s="30">
        <f t="shared" si="34"/>
        <v>-4.2553191489361737</v>
      </c>
      <c r="BO6" s="7">
        <v>7.81</v>
      </c>
      <c r="BP6" s="11">
        <v>7.49</v>
      </c>
      <c r="BQ6" s="30">
        <f t="shared" si="35"/>
        <v>-4.0973111395646526</v>
      </c>
      <c r="BR6" s="7">
        <v>3.95</v>
      </c>
      <c r="BS6" s="11">
        <v>3.84</v>
      </c>
      <c r="BT6" s="30">
        <f t="shared" si="36"/>
        <v>-2.7848101265822862</v>
      </c>
      <c r="BU6" s="7">
        <f t="shared" si="0"/>
        <v>3.8599999999999994</v>
      </c>
      <c r="BV6" s="7">
        <f t="shared" si="1"/>
        <v>3.6500000000000004</v>
      </c>
      <c r="BW6" s="30">
        <f t="shared" si="37"/>
        <v>-5.4404145077719974</v>
      </c>
      <c r="BX6" s="7">
        <v>157</v>
      </c>
      <c r="BY6" s="8">
        <v>180</v>
      </c>
      <c r="BZ6" s="30">
        <f t="shared" si="38"/>
        <v>14.64968152866242</v>
      </c>
      <c r="CA6" s="7">
        <v>46</v>
      </c>
      <c r="CB6" s="8">
        <v>47</v>
      </c>
      <c r="CC6" s="30">
        <f t="shared" si="39"/>
        <v>2.1739130434782608</v>
      </c>
      <c r="CD6" s="7">
        <f t="shared" si="2"/>
        <v>100.2</v>
      </c>
      <c r="CE6" s="7">
        <f t="shared" si="3"/>
        <v>108</v>
      </c>
      <c r="CF6" s="30">
        <f t="shared" si="40"/>
        <v>7.7844311377245488</v>
      </c>
      <c r="CG6" s="7">
        <v>54</v>
      </c>
      <c r="CH6" s="8">
        <v>125</v>
      </c>
      <c r="CI6" s="30">
        <f t="shared" si="41"/>
        <v>131.4814814814815</v>
      </c>
      <c r="CJ6" s="7">
        <v>23.5</v>
      </c>
      <c r="CK6" s="9">
        <v>23.1</v>
      </c>
      <c r="CL6" s="30">
        <f t="shared" si="42"/>
        <v>-1.7021276595744619</v>
      </c>
      <c r="CM6" s="7">
        <v>19.100000000000001</v>
      </c>
      <c r="CN6" s="8">
        <v>14.7</v>
      </c>
      <c r="CO6" s="30">
        <f t="shared" si="43"/>
        <v>-23.036649214659697</v>
      </c>
      <c r="CP6" s="7">
        <v>32.299999999999997</v>
      </c>
      <c r="CQ6" s="8">
        <v>18.5</v>
      </c>
      <c r="CR6" s="7">
        <v>92.6</v>
      </c>
      <c r="CS6" s="8">
        <v>116.8</v>
      </c>
      <c r="CT6" s="7">
        <f t="shared" si="4"/>
        <v>5.939054726368159</v>
      </c>
      <c r="CU6" s="7">
        <f t="shared" si="5"/>
        <v>4.7171641791044774</v>
      </c>
      <c r="CV6" s="30">
        <f t="shared" si="44"/>
        <v>-20.573821989528799</v>
      </c>
      <c r="CW6" s="6">
        <f t="shared" si="6"/>
        <v>2.9074074074074074</v>
      </c>
      <c r="CX6" s="6">
        <f t="shared" si="7"/>
        <v>1.44</v>
      </c>
      <c r="CY6" s="6">
        <f t="shared" si="8"/>
        <v>1.8555555555555556</v>
      </c>
      <c r="CZ6" s="6">
        <f t="shared" si="9"/>
        <v>0.86399999999999999</v>
      </c>
      <c r="DA6" s="6">
        <f t="shared" si="10"/>
        <v>3.4130434782608696</v>
      </c>
      <c r="DB6" s="6">
        <f t="shared" si="11"/>
        <v>3.8297872340425534</v>
      </c>
      <c r="DC6" s="6">
        <f t="shared" si="12"/>
        <v>2.1782608695652175</v>
      </c>
      <c r="DD6" s="6">
        <f t="shared" si="13"/>
        <v>2.2978723404255321</v>
      </c>
      <c r="DE6" s="6">
        <f t="shared" si="14"/>
        <v>111</v>
      </c>
      <c r="DF6" s="6">
        <f t="shared" si="15"/>
        <v>133</v>
      </c>
      <c r="DG6" s="6">
        <v>23.6</v>
      </c>
      <c r="DH6" s="6">
        <v>24.2</v>
      </c>
      <c r="DI6" s="6">
        <v>416.02</v>
      </c>
      <c r="DJ6" s="6">
        <v>230.52</v>
      </c>
      <c r="DK6" s="6">
        <v>39.26</v>
      </c>
      <c r="DL6" s="6">
        <v>56.33</v>
      </c>
      <c r="DM6" s="30">
        <f t="shared" si="45"/>
        <v>43.479368313805402</v>
      </c>
      <c r="DN6" s="6">
        <v>685.02</v>
      </c>
      <c r="DO6" s="6">
        <v>1018.76</v>
      </c>
      <c r="DP6" s="30">
        <f t="shared" si="46"/>
        <v>48.719745408893175</v>
      </c>
      <c r="DQ6" s="6"/>
      <c r="DR6" s="6">
        <v>7.73</v>
      </c>
      <c r="DS6" s="30"/>
      <c r="DT6" s="7">
        <v>184.36</v>
      </c>
      <c r="DU6" s="7">
        <v>434.35</v>
      </c>
      <c r="DV6" s="30">
        <f t="shared" si="48"/>
        <v>135.59882837925795</v>
      </c>
      <c r="DW6" s="6">
        <v>0.499</v>
      </c>
      <c r="DX6" s="6">
        <v>0.54100000000000004</v>
      </c>
      <c r="DY6" s="30">
        <f t="shared" si="49"/>
        <v>8.4168336673346769</v>
      </c>
      <c r="DZ6" s="6">
        <v>409383.05</v>
      </c>
      <c r="EA6" s="6">
        <v>1470799.09</v>
      </c>
      <c r="EB6" s="30">
        <f t="shared" si="50"/>
        <v>259.27210225240151</v>
      </c>
      <c r="EC6" s="6">
        <v>1.74</v>
      </c>
      <c r="ED6" s="6">
        <v>3.96</v>
      </c>
      <c r="EE6" s="30">
        <f t="shared" si="51"/>
        <v>127.58620689655172</v>
      </c>
      <c r="EF6" s="6">
        <f t="shared" si="16"/>
        <v>145.74893617021274</v>
      </c>
      <c r="EG6" s="6">
        <f t="shared" si="17"/>
        <v>226.39111111111112</v>
      </c>
      <c r="EH6" s="6">
        <v>47.9</v>
      </c>
      <c r="EI6" s="6">
        <v>40.130000000000003</v>
      </c>
      <c r="EJ6" s="30">
        <f t="shared" si="52"/>
        <v>-16.221294363256778</v>
      </c>
      <c r="EK6" s="6">
        <v>23.8</v>
      </c>
      <c r="EL6" s="6">
        <v>43.37</v>
      </c>
      <c r="EM6" s="30">
        <f t="shared" si="53"/>
        <v>82.22689075630251</v>
      </c>
    </row>
    <row r="7" spans="1:143">
      <c r="A7" s="5">
        <v>25</v>
      </c>
      <c r="B7" s="6">
        <v>1</v>
      </c>
      <c r="C7" s="6">
        <v>1</v>
      </c>
      <c r="D7" s="6">
        <v>42</v>
      </c>
      <c r="E7" s="6">
        <v>1</v>
      </c>
      <c r="F7" s="6" t="s">
        <v>153</v>
      </c>
      <c r="G7" s="6">
        <v>2</v>
      </c>
      <c r="H7" s="6">
        <v>1</v>
      </c>
      <c r="I7" s="6">
        <v>119.2</v>
      </c>
      <c r="J7" s="6">
        <v>125.1</v>
      </c>
      <c r="K7" s="30">
        <f t="shared" si="18"/>
        <v>4.9496644295301939</v>
      </c>
      <c r="L7" s="6">
        <v>1.68</v>
      </c>
      <c r="M7" s="6">
        <v>1.68</v>
      </c>
      <c r="N7" s="6">
        <v>42.26</v>
      </c>
      <c r="O7" s="6">
        <v>44.32</v>
      </c>
      <c r="P7" s="30">
        <f t="shared" si="19"/>
        <v>4.8745858968291582</v>
      </c>
      <c r="Q7" s="6">
        <v>106</v>
      </c>
      <c r="R7" s="6">
        <v>113</v>
      </c>
      <c r="S7" s="30">
        <f t="shared" si="20"/>
        <v>6.6037735849056602</v>
      </c>
      <c r="T7" s="6">
        <v>115</v>
      </c>
      <c r="U7" s="6">
        <v>125</v>
      </c>
      <c r="V7" s="30">
        <f t="shared" si="21"/>
        <v>8.695652173913043</v>
      </c>
      <c r="W7" s="6">
        <v>135</v>
      </c>
      <c r="X7" s="6">
        <v>141</v>
      </c>
      <c r="Y7" s="30">
        <f t="shared" si="22"/>
        <v>4.4444444444444446</v>
      </c>
      <c r="Z7" s="6">
        <v>125</v>
      </c>
      <c r="AA7" s="6">
        <v>125</v>
      </c>
      <c r="AB7" s="30">
        <f t="shared" si="23"/>
        <v>0</v>
      </c>
      <c r="AC7" s="6">
        <v>85</v>
      </c>
      <c r="AD7" s="6">
        <v>90</v>
      </c>
      <c r="AE7" s="30">
        <f t="shared" si="24"/>
        <v>5.8823529411764701</v>
      </c>
      <c r="AF7" s="6">
        <v>49.5</v>
      </c>
      <c r="AG7" s="6">
        <v>50.6</v>
      </c>
      <c r="AH7" s="30">
        <f t="shared" si="25"/>
        <v>2.222222222222225</v>
      </c>
      <c r="AI7" s="6">
        <v>416</v>
      </c>
      <c r="AJ7" s="6">
        <v>400</v>
      </c>
      <c r="AK7" s="30">
        <f t="shared" si="26"/>
        <v>-3.8461538461538463</v>
      </c>
      <c r="AL7" s="6">
        <v>48</v>
      </c>
      <c r="AM7" s="6">
        <v>49</v>
      </c>
      <c r="AN7" s="7">
        <v>151</v>
      </c>
      <c r="AO7" s="8">
        <v>222</v>
      </c>
      <c r="AP7" s="30">
        <f t="shared" si="27"/>
        <v>47.019867549668874</v>
      </c>
      <c r="AQ7" s="7">
        <v>29</v>
      </c>
      <c r="AR7" s="8">
        <v>33</v>
      </c>
      <c r="AS7" s="30">
        <f t="shared" si="28"/>
        <v>13.793103448275861</v>
      </c>
      <c r="AT7" s="7">
        <v>0.93</v>
      </c>
      <c r="AU7" s="11">
        <v>0.76</v>
      </c>
      <c r="AV7" s="30">
        <f t="shared" si="29"/>
        <v>-18.27956989247312</v>
      </c>
      <c r="AW7" s="7">
        <v>0.74</v>
      </c>
      <c r="AX7" s="11">
        <v>0.42</v>
      </c>
      <c r="AY7" s="30">
        <f t="shared" si="30"/>
        <v>-43.243243243243242</v>
      </c>
      <c r="AZ7" s="7">
        <v>0.15</v>
      </c>
      <c r="BA7" s="11">
        <v>0.1</v>
      </c>
      <c r="BB7" s="30">
        <f t="shared" si="31"/>
        <v>-33.333333333333329</v>
      </c>
      <c r="BC7" s="7">
        <f t="shared" si="54"/>
        <v>0.59</v>
      </c>
      <c r="BD7" s="7">
        <f t="shared" si="32"/>
        <v>0.31999999999999995</v>
      </c>
      <c r="BE7" s="30">
        <f t="shared" si="33"/>
        <v>-45.762711864406782</v>
      </c>
      <c r="BF7" s="7">
        <v>60</v>
      </c>
      <c r="BG7" s="8">
        <v>92</v>
      </c>
      <c r="BH7" s="7">
        <v>19</v>
      </c>
      <c r="BI7" s="8">
        <v>15</v>
      </c>
      <c r="BJ7" s="7">
        <v>33</v>
      </c>
      <c r="BK7" s="8">
        <v>28</v>
      </c>
      <c r="BL7" s="7">
        <v>6.7</v>
      </c>
      <c r="BM7" s="9">
        <v>5.9</v>
      </c>
      <c r="BN7" s="30">
        <f t="shared" si="34"/>
        <v>-11.940298507462684</v>
      </c>
      <c r="BO7" s="7">
        <v>7.69</v>
      </c>
      <c r="BP7" s="11">
        <v>6.96</v>
      </c>
      <c r="BQ7" s="30">
        <f t="shared" si="35"/>
        <v>-9.4928478543563131</v>
      </c>
      <c r="BR7" s="7">
        <v>4.0199999999999996</v>
      </c>
      <c r="BS7" s="11">
        <v>3.58</v>
      </c>
      <c r="BT7" s="30">
        <f t="shared" si="36"/>
        <v>-10.945273631840784</v>
      </c>
      <c r="BU7" s="7">
        <f t="shared" si="0"/>
        <v>3.6700000000000008</v>
      </c>
      <c r="BV7" s="7">
        <f t="shared" si="1"/>
        <v>3.38</v>
      </c>
      <c r="BW7" s="30">
        <f t="shared" si="37"/>
        <v>-7.9019073569482527</v>
      </c>
      <c r="BX7" s="7">
        <v>213</v>
      </c>
      <c r="BY7" s="8">
        <v>209</v>
      </c>
      <c r="BZ7" s="30">
        <f t="shared" si="38"/>
        <v>-1.8779342723004695</v>
      </c>
      <c r="CA7" s="7">
        <v>80</v>
      </c>
      <c r="CB7" s="8">
        <v>53</v>
      </c>
      <c r="CC7" s="30">
        <f t="shared" si="39"/>
        <v>-33.75</v>
      </c>
      <c r="CD7" s="7">
        <f t="shared" si="2"/>
        <v>107</v>
      </c>
      <c r="CE7" s="7">
        <f t="shared" si="3"/>
        <v>84.8</v>
      </c>
      <c r="CF7" s="30">
        <f t="shared" si="40"/>
        <v>-20.747663551401871</v>
      </c>
      <c r="CG7" s="7">
        <v>130</v>
      </c>
      <c r="CH7" s="8">
        <v>356</v>
      </c>
      <c r="CI7" s="30">
        <f t="shared" si="41"/>
        <v>173.84615384615384</v>
      </c>
      <c r="CJ7" s="7">
        <v>3.4</v>
      </c>
      <c r="CK7" s="9">
        <v>3.9</v>
      </c>
      <c r="CL7" s="30">
        <f t="shared" si="42"/>
        <v>14.705882352941178</v>
      </c>
      <c r="CM7" s="7">
        <v>15.4</v>
      </c>
      <c r="CN7" s="10">
        <v>16</v>
      </c>
      <c r="CO7" s="30">
        <f t="shared" si="43"/>
        <v>3.8961038961038938</v>
      </c>
      <c r="CP7" s="7">
        <v>25.2</v>
      </c>
      <c r="CQ7" s="10" t="s">
        <v>154</v>
      </c>
      <c r="CR7" s="7">
        <v>57.4</v>
      </c>
      <c r="CS7" s="8" t="s">
        <v>155</v>
      </c>
      <c r="CT7" s="7">
        <f t="shared" si="4"/>
        <v>5.7845771144278606</v>
      </c>
      <c r="CU7" s="7">
        <f t="shared" si="5"/>
        <v>8.8358208955223887</v>
      </c>
      <c r="CV7" s="30">
        <f t="shared" si="44"/>
        <v>52.747914337318328</v>
      </c>
      <c r="CW7" s="6">
        <f t="shared" si="6"/>
        <v>1.6384615384615384</v>
      </c>
      <c r="CX7" s="6">
        <f t="shared" si="7"/>
        <v>0.5870786516853933</v>
      </c>
      <c r="CY7" s="6">
        <f t="shared" si="8"/>
        <v>0.82307692307692304</v>
      </c>
      <c r="CZ7" s="6">
        <f t="shared" si="9"/>
        <v>0.23820224719101124</v>
      </c>
      <c r="DA7" s="6">
        <f t="shared" si="10"/>
        <v>2.6625000000000001</v>
      </c>
      <c r="DB7" s="6">
        <f t="shared" si="11"/>
        <v>3.9433962264150941</v>
      </c>
      <c r="DC7" s="6">
        <f t="shared" si="12"/>
        <v>1.3374999999999999</v>
      </c>
      <c r="DD7" s="6">
        <f t="shared" si="13"/>
        <v>1.5999999999999999</v>
      </c>
      <c r="DE7" s="6">
        <f t="shared" si="14"/>
        <v>133</v>
      </c>
      <c r="DF7" s="6">
        <f t="shared" si="15"/>
        <v>156</v>
      </c>
      <c r="DG7" s="6">
        <v>48.3</v>
      </c>
      <c r="DH7" s="6">
        <v>38.1</v>
      </c>
      <c r="DI7" s="6">
        <v>241.38</v>
      </c>
      <c r="DJ7" s="6">
        <v>416.97</v>
      </c>
      <c r="DK7" s="6">
        <v>89.18</v>
      </c>
      <c r="DL7" s="6">
        <v>224.37</v>
      </c>
      <c r="DM7" s="30">
        <f t="shared" si="45"/>
        <v>151.59228526575464</v>
      </c>
      <c r="DN7" s="6">
        <v>1324.33</v>
      </c>
      <c r="DO7" s="6">
        <v>1038.46</v>
      </c>
      <c r="DP7" s="30">
        <f t="shared" si="46"/>
        <v>-21.58600952934691</v>
      </c>
      <c r="DQ7" s="6">
        <v>8.76</v>
      </c>
      <c r="DR7" s="6">
        <v>8.1999999999999993</v>
      </c>
      <c r="DS7" s="30">
        <f t="shared" si="47"/>
        <v>-6.3926940639269461</v>
      </c>
      <c r="DT7" s="7">
        <v>719.22</v>
      </c>
      <c r="DU7" s="7">
        <v>562.80999999999995</v>
      </c>
      <c r="DV7" s="30">
        <f t="shared" si="48"/>
        <v>-21.747170545869146</v>
      </c>
      <c r="DW7" s="6">
        <v>0.18099999999999999</v>
      </c>
      <c r="DX7" s="6">
        <v>0.70699999999999996</v>
      </c>
      <c r="DY7" s="30">
        <f t="shared" si="49"/>
        <v>290.60773480662988</v>
      </c>
      <c r="DZ7" s="6">
        <v>1564527.36</v>
      </c>
      <c r="EA7" s="6">
        <v>1810812.36</v>
      </c>
      <c r="EB7" s="30">
        <f t="shared" si="50"/>
        <v>15.741814831541202</v>
      </c>
      <c r="EC7" s="6">
        <v>1.41</v>
      </c>
      <c r="ED7" s="6">
        <v>0.55000000000000004</v>
      </c>
      <c r="EE7" s="30">
        <f t="shared" si="51"/>
        <v>-60.99290780141844</v>
      </c>
      <c r="EF7" s="6">
        <f t="shared" si="16"/>
        <v>197.66119402985072</v>
      </c>
      <c r="EG7" s="6">
        <f t="shared" si="17"/>
        <v>176.01016949152543</v>
      </c>
      <c r="EH7" s="6">
        <v>59</v>
      </c>
      <c r="EI7" s="6">
        <v>48.67</v>
      </c>
      <c r="EJ7" s="30">
        <f t="shared" si="52"/>
        <v>-17.508474576271183</v>
      </c>
      <c r="EK7" s="6">
        <v>63.41</v>
      </c>
      <c r="EL7" s="6">
        <v>31.28</v>
      </c>
      <c r="EM7" s="30">
        <f t="shared" si="53"/>
        <v>-50.670241286863273</v>
      </c>
    </row>
    <row r="8" spans="1:143">
      <c r="A8" s="5">
        <v>34</v>
      </c>
      <c r="B8" s="6">
        <v>1</v>
      </c>
      <c r="C8" s="6">
        <v>1</v>
      </c>
      <c r="D8" s="6">
        <v>34</v>
      </c>
      <c r="E8" s="6">
        <v>2</v>
      </c>
      <c r="F8" s="6" t="s">
        <v>156</v>
      </c>
      <c r="G8" s="6">
        <v>2</v>
      </c>
      <c r="H8" s="6">
        <v>1</v>
      </c>
      <c r="I8" s="6">
        <v>143</v>
      </c>
      <c r="J8" s="6">
        <v>147.69999999999999</v>
      </c>
      <c r="K8" s="30">
        <f t="shared" si="18"/>
        <v>3.2867132867132791</v>
      </c>
      <c r="L8" s="6">
        <v>1.78</v>
      </c>
      <c r="M8" s="6">
        <v>1.78</v>
      </c>
      <c r="N8" s="6">
        <v>45.25</v>
      </c>
      <c r="O8" s="6">
        <v>46.7</v>
      </c>
      <c r="P8" s="30">
        <f t="shared" si="19"/>
        <v>3.2044198895027689</v>
      </c>
      <c r="Q8" s="6">
        <v>124</v>
      </c>
      <c r="R8" s="6">
        <v>134</v>
      </c>
      <c r="S8" s="30">
        <f t="shared" si="20"/>
        <v>8.064516129032258</v>
      </c>
      <c r="T8" s="6">
        <v>135</v>
      </c>
      <c r="U8" s="6">
        <v>139</v>
      </c>
      <c r="V8" s="30">
        <f t="shared" si="21"/>
        <v>2.9629629629629632</v>
      </c>
      <c r="W8" s="6">
        <v>130</v>
      </c>
      <c r="X8" s="6">
        <v>127</v>
      </c>
      <c r="Y8" s="30">
        <f t="shared" si="22"/>
        <v>-2.3076923076923079</v>
      </c>
      <c r="Z8" s="6">
        <v>140</v>
      </c>
      <c r="AA8" s="6">
        <v>120</v>
      </c>
      <c r="AB8" s="30">
        <f t="shared" si="23"/>
        <v>-14.285714285714285</v>
      </c>
      <c r="AC8" s="6">
        <v>83</v>
      </c>
      <c r="AD8" s="6">
        <v>80</v>
      </c>
      <c r="AE8" s="30">
        <f t="shared" si="24"/>
        <v>-3.6144578313253009</v>
      </c>
      <c r="AF8" s="6">
        <v>40.799999999999997</v>
      </c>
      <c r="AG8" s="6">
        <v>40.799999999999997</v>
      </c>
      <c r="AH8" s="30">
        <f t="shared" si="25"/>
        <v>0</v>
      </c>
      <c r="AI8" s="6">
        <v>335</v>
      </c>
      <c r="AJ8" s="6">
        <v>313</v>
      </c>
      <c r="AK8" s="30">
        <f t="shared" si="26"/>
        <v>-6.567164179104477</v>
      </c>
      <c r="AL8" s="6">
        <v>48</v>
      </c>
      <c r="AM8" s="6">
        <v>40</v>
      </c>
      <c r="AN8" s="7">
        <v>109</v>
      </c>
      <c r="AO8" s="8">
        <v>98</v>
      </c>
      <c r="AP8" s="30">
        <f t="shared" si="27"/>
        <v>-10.091743119266056</v>
      </c>
      <c r="AQ8" s="7">
        <v>32</v>
      </c>
      <c r="AR8" s="8">
        <v>40</v>
      </c>
      <c r="AS8" s="30">
        <f t="shared" si="28"/>
        <v>25</v>
      </c>
      <c r="AT8" s="7">
        <v>0.95</v>
      </c>
      <c r="AU8" s="11">
        <v>1.1000000000000001</v>
      </c>
      <c r="AV8" s="30">
        <f t="shared" si="29"/>
        <v>15.789473684210542</v>
      </c>
      <c r="AW8" s="7">
        <v>0.45</v>
      </c>
      <c r="AX8" s="11">
        <v>0.42</v>
      </c>
      <c r="AY8" s="30">
        <f t="shared" si="30"/>
        <v>-6.6666666666666723</v>
      </c>
      <c r="AZ8" s="7">
        <v>0.1</v>
      </c>
      <c r="BA8" s="11">
        <v>0.14000000000000001</v>
      </c>
      <c r="BB8" s="30">
        <f t="shared" si="31"/>
        <v>40.000000000000007</v>
      </c>
      <c r="BC8" s="7">
        <f t="shared" si="54"/>
        <v>0.35</v>
      </c>
      <c r="BD8" s="7">
        <f t="shared" si="32"/>
        <v>0.27999999999999997</v>
      </c>
      <c r="BE8" s="30">
        <f t="shared" si="33"/>
        <v>-20.000000000000004</v>
      </c>
      <c r="BF8" s="7">
        <v>36</v>
      </c>
      <c r="BG8" s="8">
        <v>36</v>
      </c>
      <c r="BH8" s="7">
        <v>17</v>
      </c>
      <c r="BI8" s="8">
        <v>19</v>
      </c>
      <c r="BJ8" s="7">
        <v>47</v>
      </c>
      <c r="BK8" s="8">
        <v>40</v>
      </c>
      <c r="BL8" s="7">
        <v>6.1</v>
      </c>
      <c r="BM8" s="9">
        <v>7</v>
      </c>
      <c r="BN8" s="30">
        <f t="shared" si="34"/>
        <v>14.754098360655746</v>
      </c>
      <c r="BO8" s="7">
        <v>7.63</v>
      </c>
      <c r="BP8" s="11">
        <v>7.01</v>
      </c>
      <c r="BQ8" s="30">
        <f t="shared" si="35"/>
        <v>-8.1258191349934474</v>
      </c>
      <c r="BR8" s="7">
        <v>4.05</v>
      </c>
      <c r="BS8" s="11">
        <v>3.79</v>
      </c>
      <c r="BT8" s="30">
        <f t="shared" si="36"/>
        <v>-6.4197530864197478</v>
      </c>
      <c r="BU8" s="7">
        <f t="shared" si="0"/>
        <v>3.58</v>
      </c>
      <c r="BV8" s="7">
        <f t="shared" si="1"/>
        <v>3.2199999999999998</v>
      </c>
      <c r="BW8" s="30">
        <f t="shared" si="37"/>
        <v>-10.055865921787719</v>
      </c>
      <c r="BX8" s="7">
        <v>181</v>
      </c>
      <c r="BY8" s="8">
        <v>191</v>
      </c>
      <c r="BZ8" s="30">
        <f t="shared" si="38"/>
        <v>5.5248618784530388</v>
      </c>
      <c r="CA8" s="7">
        <v>27</v>
      </c>
      <c r="CB8" s="8">
        <v>27</v>
      </c>
      <c r="CC8" s="30">
        <f t="shared" si="39"/>
        <v>0</v>
      </c>
      <c r="CD8" s="7">
        <f t="shared" si="2"/>
        <v>114.2</v>
      </c>
      <c r="CE8" s="7">
        <f t="shared" si="3"/>
        <v>125.6</v>
      </c>
      <c r="CF8" s="30">
        <f t="shared" si="40"/>
        <v>9.9824868651488536</v>
      </c>
      <c r="CG8" s="7">
        <v>199</v>
      </c>
      <c r="CH8" s="8">
        <v>192</v>
      </c>
      <c r="CI8" s="30">
        <f t="shared" si="41"/>
        <v>-3.5175879396984926</v>
      </c>
      <c r="CJ8" s="7">
        <v>5.9</v>
      </c>
      <c r="CK8" s="9">
        <v>6.1</v>
      </c>
      <c r="CL8" s="30">
        <f t="shared" si="42"/>
        <v>3.3898305084745637</v>
      </c>
      <c r="CM8" s="7">
        <v>37.6</v>
      </c>
      <c r="CN8" s="8">
        <v>27.8</v>
      </c>
      <c r="CO8" s="30">
        <f t="shared" si="43"/>
        <v>-26.063829787234045</v>
      </c>
      <c r="CP8" s="7">
        <v>32.6</v>
      </c>
      <c r="CQ8" s="8">
        <v>17.5</v>
      </c>
      <c r="CR8" s="7">
        <v>49.1</v>
      </c>
      <c r="CS8" s="8">
        <v>84.1</v>
      </c>
      <c r="CT8" s="7">
        <f t="shared" si="4"/>
        <v>10.195024875621892</v>
      </c>
      <c r="CU8" s="7">
        <f t="shared" si="5"/>
        <v>6.7771144278606972</v>
      </c>
      <c r="CV8" s="30">
        <f t="shared" si="44"/>
        <v>-33.525278157329694</v>
      </c>
      <c r="CW8" s="6">
        <f t="shared" si="6"/>
        <v>0.90954773869346739</v>
      </c>
      <c r="CX8" s="6">
        <f t="shared" si="7"/>
        <v>0.99479166666666663</v>
      </c>
      <c r="CY8" s="6">
        <f t="shared" si="8"/>
        <v>0.57386934673366841</v>
      </c>
      <c r="CZ8" s="6">
        <f t="shared" si="9"/>
        <v>0.65416666666666667</v>
      </c>
      <c r="DA8" s="6">
        <f t="shared" si="10"/>
        <v>6.7037037037037033</v>
      </c>
      <c r="DB8" s="6">
        <f t="shared" si="11"/>
        <v>7.0740740740740744</v>
      </c>
      <c r="DC8" s="6">
        <f t="shared" si="12"/>
        <v>4.2296296296296294</v>
      </c>
      <c r="DD8" s="6">
        <f t="shared" si="13"/>
        <v>4.6518518518518519</v>
      </c>
      <c r="DE8" s="6">
        <f t="shared" si="14"/>
        <v>154</v>
      </c>
      <c r="DF8" s="6">
        <f t="shared" si="15"/>
        <v>164</v>
      </c>
      <c r="DG8" s="6">
        <v>24.8</v>
      </c>
      <c r="DH8" s="6">
        <v>21.4</v>
      </c>
      <c r="DI8" s="6">
        <v>411.94</v>
      </c>
      <c r="DJ8" s="6">
        <v>323.73</v>
      </c>
      <c r="DK8" s="6">
        <v>105.31</v>
      </c>
      <c r="DL8" s="6">
        <v>80.78</v>
      </c>
      <c r="DM8" s="30">
        <f t="shared" si="45"/>
        <v>-23.293134555122972</v>
      </c>
      <c r="DN8" s="6">
        <v>1181.6199999999999</v>
      </c>
      <c r="DO8" s="6">
        <v>1193.78</v>
      </c>
      <c r="DP8" s="30">
        <f t="shared" si="46"/>
        <v>1.0290956483471914</v>
      </c>
      <c r="DQ8" s="6">
        <v>7.94</v>
      </c>
      <c r="DR8" s="6">
        <v>7.77</v>
      </c>
      <c r="DS8" s="30">
        <f t="shared" si="47"/>
        <v>-2.1410579345088263</v>
      </c>
      <c r="DT8" s="7">
        <v>167.93</v>
      </c>
      <c r="DU8" s="7">
        <v>456.7</v>
      </c>
      <c r="DV8" s="30">
        <f t="shared" si="48"/>
        <v>171.95855415947119</v>
      </c>
      <c r="DW8" s="6">
        <v>0.3</v>
      </c>
      <c r="DX8" s="6">
        <v>0.52900000000000003</v>
      </c>
      <c r="DY8" s="30">
        <f t="shared" si="49"/>
        <v>76.333333333333357</v>
      </c>
      <c r="DZ8" s="6">
        <v>495927.84</v>
      </c>
      <c r="EA8" s="6">
        <v>2269905.36</v>
      </c>
      <c r="EB8" s="30">
        <f t="shared" si="50"/>
        <v>357.70879892526295</v>
      </c>
      <c r="EC8" s="6">
        <v>10.57</v>
      </c>
      <c r="ED8" s="6">
        <v>10.73</v>
      </c>
      <c r="EE8" s="30">
        <f t="shared" si="51"/>
        <v>1.5137180700094621</v>
      </c>
      <c r="EF8" s="6">
        <f t="shared" si="16"/>
        <v>193.70819672131148</v>
      </c>
      <c r="EG8" s="6">
        <f t="shared" si="17"/>
        <v>170.54</v>
      </c>
      <c r="EH8" s="6">
        <v>33</v>
      </c>
      <c r="EI8" s="6">
        <v>42.54</v>
      </c>
      <c r="EJ8" s="30">
        <f t="shared" si="52"/>
        <v>28.909090909090907</v>
      </c>
      <c r="EK8" s="6">
        <v>26.96</v>
      </c>
      <c r="EL8" s="6">
        <v>34.909999999999997</v>
      </c>
      <c r="EM8" s="30">
        <f t="shared" si="53"/>
        <v>29.488130563798205</v>
      </c>
    </row>
    <row r="9" spans="1:143">
      <c r="A9" s="5">
        <v>36</v>
      </c>
      <c r="B9" s="6">
        <v>1</v>
      </c>
      <c r="C9" s="6">
        <v>1</v>
      </c>
      <c r="D9" s="6">
        <v>51</v>
      </c>
      <c r="E9" s="6">
        <v>2</v>
      </c>
      <c r="F9" s="6"/>
      <c r="G9" s="6">
        <v>2</v>
      </c>
      <c r="H9" s="6">
        <v>1</v>
      </c>
      <c r="I9" s="6">
        <v>81</v>
      </c>
      <c r="J9" s="6">
        <v>80.3</v>
      </c>
      <c r="K9" s="30">
        <f t="shared" si="18"/>
        <v>-0.86419753086420115</v>
      </c>
      <c r="L9" s="6">
        <v>1.61</v>
      </c>
      <c r="M9" s="6">
        <v>1.61</v>
      </c>
      <c r="N9" s="6">
        <v>31.25</v>
      </c>
      <c r="O9" s="6">
        <v>31</v>
      </c>
      <c r="P9" s="30">
        <f t="shared" si="19"/>
        <v>-0.8</v>
      </c>
      <c r="Q9" s="6">
        <v>94</v>
      </c>
      <c r="R9" s="6">
        <v>91</v>
      </c>
      <c r="S9" s="30">
        <f t="shared" si="20"/>
        <v>-3.1914893617021276</v>
      </c>
      <c r="T9" s="6">
        <v>100</v>
      </c>
      <c r="U9" s="6">
        <v>99</v>
      </c>
      <c r="V9" s="30">
        <f t="shared" si="21"/>
        <v>-1</v>
      </c>
      <c r="W9" s="6">
        <v>104</v>
      </c>
      <c r="X9" s="6">
        <v>103</v>
      </c>
      <c r="Y9" s="30">
        <f t="shared" si="22"/>
        <v>-0.96153846153846156</v>
      </c>
      <c r="Z9" s="6">
        <v>140</v>
      </c>
      <c r="AA9" s="6">
        <v>135</v>
      </c>
      <c r="AB9" s="30">
        <f t="shared" si="23"/>
        <v>-3.5714285714285712</v>
      </c>
      <c r="AC9" s="6">
        <v>95</v>
      </c>
      <c r="AD9" s="6">
        <v>90</v>
      </c>
      <c r="AE9" s="30">
        <f t="shared" si="24"/>
        <v>-5.2631578947368416</v>
      </c>
      <c r="AF9" s="6">
        <v>26.3</v>
      </c>
      <c r="AG9" s="6">
        <v>27.6</v>
      </c>
      <c r="AH9" s="30">
        <f t="shared" si="25"/>
        <v>4.9429657794676833</v>
      </c>
      <c r="AI9" s="6">
        <v>339</v>
      </c>
      <c r="AJ9" s="6">
        <v>363</v>
      </c>
      <c r="AK9" s="30">
        <f t="shared" si="26"/>
        <v>7.0796460176991154</v>
      </c>
      <c r="AL9" s="6">
        <v>40</v>
      </c>
      <c r="AM9" s="6">
        <v>36</v>
      </c>
      <c r="AN9" s="7">
        <v>115</v>
      </c>
      <c r="AO9" s="8">
        <v>103</v>
      </c>
      <c r="AP9" s="30">
        <f t="shared" si="27"/>
        <v>-10.434782608695652</v>
      </c>
      <c r="AQ9" s="7">
        <v>34</v>
      </c>
      <c r="AR9" s="8">
        <v>37</v>
      </c>
      <c r="AS9" s="30">
        <f t="shared" si="28"/>
        <v>8.8235294117647065</v>
      </c>
      <c r="AT9" s="7">
        <v>0.87</v>
      </c>
      <c r="AU9" s="11">
        <v>0.97</v>
      </c>
      <c r="AV9" s="30">
        <f t="shared" si="29"/>
        <v>11.494252873563216</v>
      </c>
      <c r="AW9" s="7">
        <v>0.46</v>
      </c>
      <c r="AX9" s="11">
        <v>0.64</v>
      </c>
      <c r="AY9" s="30">
        <f t="shared" si="30"/>
        <v>39.130434782608688</v>
      </c>
      <c r="AZ9" s="7">
        <v>0.11</v>
      </c>
      <c r="BA9" s="11">
        <v>0.15</v>
      </c>
      <c r="BB9" s="30">
        <f t="shared" si="31"/>
        <v>36.36363636363636</v>
      </c>
      <c r="BC9" s="7">
        <f t="shared" si="54"/>
        <v>0.35000000000000003</v>
      </c>
      <c r="BD9" s="7">
        <f t="shared" si="32"/>
        <v>0.49</v>
      </c>
      <c r="BE9" s="30">
        <f t="shared" si="33"/>
        <v>39.999999999999986</v>
      </c>
      <c r="BF9" s="7">
        <v>121</v>
      </c>
      <c r="BG9" s="8">
        <v>91</v>
      </c>
      <c r="BH9" s="7">
        <v>22</v>
      </c>
      <c r="BI9" s="8">
        <v>24</v>
      </c>
      <c r="BJ9" s="7">
        <v>54</v>
      </c>
      <c r="BK9" s="8">
        <v>45</v>
      </c>
      <c r="BL9" s="7">
        <v>4.9000000000000004</v>
      </c>
      <c r="BM9" s="9">
        <v>5.4</v>
      </c>
      <c r="BN9" s="30">
        <f t="shared" si="34"/>
        <v>10.204081632653059</v>
      </c>
      <c r="BO9" s="7">
        <v>7.39</v>
      </c>
      <c r="BP9" s="11">
        <v>6.75</v>
      </c>
      <c r="BQ9" s="30">
        <f t="shared" si="35"/>
        <v>-8.6603518267929598</v>
      </c>
      <c r="BR9" s="7">
        <v>4.16</v>
      </c>
      <c r="BS9" s="11">
        <v>3.92</v>
      </c>
      <c r="BT9" s="30">
        <f t="shared" si="36"/>
        <v>-5.7692307692307745</v>
      </c>
      <c r="BU9" s="7">
        <f t="shared" si="0"/>
        <v>3.2299999999999995</v>
      </c>
      <c r="BV9" s="7">
        <f t="shared" si="1"/>
        <v>2.83</v>
      </c>
      <c r="BW9" s="30">
        <f t="shared" si="37"/>
        <v>-12.383900928792555</v>
      </c>
      <c r="BX9" s="7">
        <v>262</v>
      </c>
      <c r="BY9" s="8">
        <v>226</v>
      </c>
      <c r="BZ9" s="30">
        <f t="shared" si="38"/>
        <v>-13.740458015267176</v>
      </c>
      <c r="CA9" s="7">
        <v>57</v>
      </c>
      <c r="CB9" s="8">
        <v>56</v>
      </c>
      <c r="CC9" s="30">
        <f t="shared" si="39"/>
        <v>-1.7543859649122806</v>
      </c>
      <c r="CD9" s="7">
        <f t="shared" si="2"/>
        <v>184.8</v>
      </c>
      <c r="CE9" s="7">
        <f t="shared" si="3"/>
        <v>153</v>
      </c>
      <c r="CF9" s="30">
        <f t="shared" si="40"/>
        <v>-17.207792207792213</v>
      </c>
      <c r="CG9" s="7">
        <v>101</v>
      </c>
      <c r="CH9" s="8">
        <v>85</v>
      </c>
      <c r="CI9" s="30">
        <f t="shared" si="41"/>
        <v>-15.841584158415841</v>
      </c>
      <c r="CJ9" s="7">
        <v>1.8</v>
      </c>
      <c r="CK9" s="9">
        <v>4.5</v>
      </c>
      <c r="CL9" s="30">
        <f t="shared" si="42"/>
        <v>150</v>
      </c>
      <c r="CM9" s="7">
        <v>9.4</v>
      </c>
      <c r="CN9" s="8">
        <v>6.4</v>
      </c>
      <c r="CO9" s="30">
        <f t="shared" si="43"/>
        <v>-31.914893617021274</v>
      </c>
      <c r="CP9" s="7">
        <v>43.9</v>
      </c>
      <c r="CQ9" s="8">
        <v>26.7</v>
      </c>
      <c r="CR9" s="7">
        <v>41.6</v>
      </c>
      <c r="CS9" s="8">
        <v>67</v>
      </c>
      <c r="CT9" s="7">
        <f t="shared" si="4"/>
        <v>2.689054726368159</v>
      </c>
      <c r="CU9" s="7">
        <f t="shared" si="5"/>
        <v>1.6398009950248758</v>
      </c>
      <c r="CV9" s="30">
        <f t="shared" si="44"/>
        <v>-39.019426456984263</v>
      </c>
      <c r="CW9" s="6">
        <f t="shared" si="6"/>
        <v>2.5940594059405941</v>
      </c>
      <c r="CX9" s="6">
        <f t="shared" si="7"/>
        <v>2.6588235294117646</v>
      </c>
      <c r="CY9" s="6">
        <f t="shared" si="8"/>
        <v>1.8297029702970298</v>
      </c>
      <c r="CZ9" s="6">
        <f t="shared" si="9"/>
        <v>1.8</v>
      </c>
      <c r="DA9" s="6">
        <f t="shared" si="10"/>
        <v>4.5964912280701755</v>
      </c>
      <c r="DB9" s="6">
        <f t="shared" si="11"/>
        <v>4.0357142857142856</v>
      </c>
      <c r="DC9" s="6">
        <f t="shared" si="12"/>
        <v>3.242105263157895</v>
      </c>
      <c r="DD9" s="6">
        <f t="shared" si="13"/>
        <v>2.7321428571428572</v>
      </c>
      <c r="DE9" s="6">
        <f t="shared" si="14"/>
        <v>205</v>
      </c>
      <c r="DF9" s="6">
        <f t="shared" si="15"/>
        <v>170</v>
      </c>
      <c r="DG9" s="6">
        <v>38.9</v>
      </c>
      <c r="DH9" s="6">
        <v>27.6</v>
      </c>
      <c r="DI9" s="6">
        <v>489.93</v>
      </c>
      <c r="DJ9" s="6">
        <v>304.42</v>
      </c>
      <c r="DK9" s="6">
        <v>99.07</v>
      </c>
      <c r="DL9" s="6">
        <v>51.6</v>
      </c>
      <c r="DM9" s="30">
        <f t="shared" si="45"/>
        <v>-47.915615221560508</v>
      </c>
      <c r="DN9" s="6">
        <v>914.17</v>
      </c>
      <c r="DO9" s="6">
        <v>1131.22</v>
      </c>
      <c r="DP9" s="30">
        <f t="shared" si="46"/>
        <v>23.742848704289145</v>
      </c>
      <c r="DQ9" s="6">
        <v>7.51</v>
      </c>
      <c r="DR9" s="6">
        <v>3.49</v>
      </c>
      <c r="DS9" s="30">
        <f t="shared" si="47"/>
        <v>-53.528628495339547</v>
      </c>
      <c r="DT9" s="7">
        <v>225.54</v>
      </c>
      <c r="DU9" s="7">
        <v>693.64</v>
      </c>
      <c r="DV9" s="30">
        <f t="shared" si="48"/>
        <v>207.54633324465729</v>
      </c>
      <c r="DW9" s="6">
        <v>0.505</v>
      </c>
      <c r="DX9" s="6">
        <v>0.68</v>
      </c>
      <c r="DY9" s="30">
        <f t="shared" si="49"/>
        <v>34.653465346534659</v>
      </c>
      <c r="DZ9" s="6">
        <v>664112.77</v>
      </c>
      <c r="EA9" s="6">
        <v>2166362.14</v>
      </c>
      <c r="EB9" s="30">
        <f t="shared" si="50"/>
        <v>226.2039578007211</v>
      </c>
      <c r="EC9" s="5">
        <v>0.48</v>
      </c>
      <c r="ED9" s="6">
        <v>0.89</v>
      </c>
      <c r="EE9" s="30">
        <f t="shared" si="51"/>
        <v>85.416666666666671</v>
      </c>
      <c r="EF9" s="6">
        <f t="shared" si="16"/>
        <v>186.56530612244896</v>
      </c>
      <c r="EG9" s="6">
        <f t="shared" si="17"/>
        <v>209.48518518518517</v>
      </c>
      <c r="EH9" s="6">
        <v>56.13</v>
      </c>
      <c r="EI9" s="6">
        <v>51.01</v>
      </c>
      <c r="EJ9" s="30">
        <f t="shared" si="52"/>
        <v>-9.1216818100837411</v>
      </c>
      <c r="EK9" s="6">
        <v>82.5</v>
      </c>
      <c r="EL9" s="6">
        <v>83.52</v>
      </c>
      <c r="EM9" s="30">
        <f t="shared" si="53"/>
        <v>1.2363636363636317</v>
      </c>
    </row>
    <row r="10" spans="1:143">
      <c r="A10" s="5">
        <v>76</v>
      </c>
      <c r="B10" s="6">
        <v>1</v>
      </c>
      <c r="C10" s="6">
        <v>1</v>
      </c>
      <c r="D10" s="6">
        <v>57</v>
      </c>
      <c r="E10" s="6">
        <v>1</v>
      </c>
      <c r="F10" s="6"/>
      <c r="G10" s="6">
        <v>2</v>
      </c>
      <c r="H10" s="6">
        <v>1</v>
      </c>
      <c r="I10" s="6">
        <v>78.599999999999994</v>
      </c>
      <c r="J10" s="6">
        <v>77.8</v>
      </c>
      <c r="K10" s="30">
        <f t="shared" si="18"/>
        <v>-1.017811704834602</v>
      </c>
      <c r="L10" s="6">
        <v>1.65</v>
      </c>
      <c r="M10" s="6">
        <v>1.65</v>
      </c>
      <c r="N10" s="6">
        <v>28.89</v>
      </c>
      <c r="O10" s="6">
        <v>28.6</v>
      </c>
      <c r="P10" s="30">
        <f t="shared" si="19"/>
        <v>-1.0038075458636175</v>
      </c>
      <c r="Q10" s="6">
        <v>86</v>
      </c>
      <c r="R10" s="6">
        <v>85</v>
      </c>
      <c r="S10" s="30">
        <f t="shared" si="20"/>
        <v>-1.1627906976744187</v>
      </c>
      <c r="T10" s="6">
        <v>99</v>
      </c>
      <c r="U10" s="6">
        <v>101</v>
      </c>
      <c r="V10" s="30">
        <f t="shared" si="21"/>
        <v>2.0202020202020203</v>
      </c>
      <c r="W10" s="6">
        <v>110</v>
      </c>
      <c r="X10" s="6">
        <v>110</v>
      </c>
      <c r="Y10" s="30">
        <f t="shared" si="22"/>
        <v>0</v>
      </c>
      <c r="Z10" s="6">
        <v>135</v>
      </c>
      <c r="AA10" s="6">
        <v>120</v>
      </c>
      <c r="AB10" s="30">
        <f t="shared" si="23"/>
        <v>-11.111111111111111</v>
      </c>
      <c r="AC10" s="6">
        <v>80</v>
      </c>
      <c r="AD10" s="6">
        <v>70</v>
      </c>
      <c r="AE10" s="30">
        <f t="shared" si="24"/>
        <v>-12.5</v>
      </c>
      <c r="AF10" s="6">
        <v>39.6</v>
      </c>
      <c r="AG10" s="6">
        <v>39.1</v>
      </c>
      <c r="AH10" s="30">
        <f t="shared" si="25"/>
        <v>-1.2626262626262625</v>
      </c>
      <c r="AI10" s="6">
        <v>531</v>
      </c>
      <c r="AJ10" s="6">
        <v>527</v>
      </c>
      <c r="AK10" s="30">
        <f t="shared" si="26"/>
        <v>-0.75329566854990582</v>
      </c>
      <c r="AL10" s="6">
        <v>37</v>
      </c>
      <c r="AM10" s="6">
        <v>42</v>
      </c>
      <c r="AN10" s="7">
        <v>102</v>
      </c>
      <c r="AO10" s="8">
        <v>94</v>
      </c>
      <c r="AP10" s="30">
        <f t="shared" si="27"/>
        <v>-7.8431372549019605</v>
      </c>
      <c r="AQ10" s="7">
        <v>42</v>
      </c>
      <c r="AR10" s="8">
        <v>52</v>
      </c>
      <c r="AS10" s="30">
        <f t="shared" si="28"/>
        <v>23.809523809523807</v>
      </c>
      <c r="AT10" s="7">
        <v>0.82</v>
      </c>
      <c r="AU10" s="11">
        <v>0.7</v>
      </c>
      <c r="AV10" s="30">
        <f t="shared" si="29"/>
        <v>-14.634146341463413</v>
      </c>
      <c r="AW10" s="7">
        <v>0.59</v>
      </c>
      <c r="AX10" s="11">
        <v>0.62</v>
      </c>
      <c r="AY10" s="30">
        <f t="shared" si="30"/>
        <v>5.0847457627118686</v>
      </c>
      <c r="AZ10" s="7">
        <v>0.11</v>
      </c>
      <c r="BA10" s="11">
        <v>0.13</v>
      </c>
      <c r="BB10" s="30">
        <f t="shared" si="31"/>
        <v>18.181818181818183</v>
      </c>
      <c r="BC10" s="7">
        <f t="shared" si="54"/>
        <v>0.48</v>
      </c>
      <c r="BD10" s="7">
        <f t="shared" si="32"/>
        <v>0.49</v>
      </c>
      <c r="BE10" s="30">
        <f t="shared" si="33"/>
        <v>2.0833333333333353</v>
      </c>
      <c r="BF10" s="7">
        <v>23</v>
      </c>
      <c r="BG10" s="8">
        <v>20</v>
      </c>
      <c r="BH10" s="7">
        <v>19</v>
      </c>
      <c r="BI10" s="8">
        <v>23</v>
      </c>
      <c r="BJ10" s="7">
        <v>21</v>
      </c>
      <c r="BK10" s="8">
        <v>31</v>
      </c>
      <c r="BL10" s="7">
        <v>3.6</v>
      </c>
      <c r="BM10" s="9">
        <v>3.7</v>
      </c>
      <c r="BN10" s="30">
        <f t="shared" si="34"/>
        <v>2.7777777777777799</v>
      </c>
      <c r="BO10" s="7">
        <v>8.08</v>
      </c>
      <c r="BP10" s="11">
        <v>7.95</v>
      </c>
      <c r="BQ10" s="30">
        <f t="shared" si="35"/>
        <v>-1.6089108910891077</v>
      </c>
      <c r="BR10" s="7">
        <v>4.13</v>
      </c>
      <c r="BS10" s="11">
        <v>4.16</v>
      </c>
      <c r="BT10" s="30">
        <f t="shared" si="36"/>
        <v>0.72639225181598666</v>
      </c>
      <c r="BU10" s="7">
        <f t="shared" si="0"/>
        <v>3.95</v>
      </c>
      <c r="BV10" s="7">
        <f t="shared" si="1"/>
        <v>3.79</v>
      </c>
      <c r="BW10" s="30">
        <f t="shared" si="37"/>
        <v>-4.0506329113924089</v>
      </c>
      <c r="BX10" s="7">
        <v>294</v>
      </c>
      <c r="BY10" s="8">
        <v>230</v>
      </c>
      <c r="BZ10" s="30">
        <f t="shared" si="38"/>
        <v>-21.768707482993197</v>
      </c>
      <c r="CA10" s="7">
        <v>57</v>
      </c>
      <c r="CB10" s="8">
        <v>60</v>
      </c>
      <c r="CC10" s="30">
        <f t="shared" si="39"/>
        <v>5.2631578947368416</v>
      </c>
      <c r="CD10" s="7">
        <f t="shared" si="2"/>
        <v>211</v>
      </c>
      <c r="CE10" s="7">
        <f t="shared" si="3"/>
        <v>154.6</v>
      </c>
      <c r="CF10" s="30">
        <f t="shared" si="40"/>
        <v>-26.729857819905217</v>
      </c>
      <c r="CG10" s="7">
        <v>130</v>
      </c>
      <c r="CH10" s="8">
        <v>77</v>
      </c>
      <c r="CI10" s="30">
        <f t="shared" si="41"/>
        <v>-40.769230769230766</v>
      </c>
      <c r="CJ10" s="7">
        <v>17.5</v>
      </c>
      <c r="CK10" s="9">
        <v>1.9</v>
      </c>
      <c r="CL10" s="30">
        <f t="shared" si="42"/>
        <v>-89.142857142857139</v>
      </c>
      <c r="CM10" s="7">
        <v>11</v>
      </c>
      <c r="CN10" s="10" t="s">
        <v>157</v>
      </c>
      <c r="CO10" s="30" t="e">
        <f t="shared" si="43"/>
        <v>#VALUE!</v>
      </c>
      <c r="CP10" s="7">
        <v>21.3</v>
      </c>
      <c r="CQ10" s="10">
        <v>24</v>
      </c>
      <c r="CR10" s="7">
        <v>53.7</v>
      </c>
      <c r="CS10" s="8" t="s">
        <v>158</v>
      </c>
      <c r="CT10" s="7">
        <f t="shared" si="4"/>
        <v>2.7910447761194028</v>
      </c>
      <c r="CU10" s="7" t="e">
        <f t="shared" si="5"/>
        <v>#VALUE!</v>
      </c>
      <c r="CV10" s="30" t="e">
        <f t="shared" si="44"/>
        <v>#VALUE!</v>
      </c>
      <c r="CW10" s="6">
        <f t="shared" si="6"/>
        <v>2.2615384615384615</v>
      </c>
      <c r="CX10" s="6">
        <f t="shared" si="7"/>
        <v>2.9870129870129869</v>
      </c>
      <c r="CY10" s="6">
        <f t="shared" si="8"/>
        <v>1.6230769230769231</v>
      </c>
      <c r="CZ10" s="6">
        <f t="shared" si="9"/>
        <v>2.0077922077922077</v>
      </c>
      <c r="DA10" s="6">
        <f t="shared" si="10"/>
        <v>5.1578947368421053</v>
      </c>
      <c r="DB10" s="6">
        <f t="shared" si="11"/>
        <v>3.8333333333333335</v>
      </c>
      <c r="DC10" s="6">
        <f t="shared" si="12"/>
        <v>3.7017543859649122</v>
      </c>
      <c r="DD10" s="6">
        <f t="shared" si="13"/>
        <v>2.5766666666666667</v>
      </c>
      <c r="DE10" s="6">
        <f t="shared" si="14"/>
        <v>237</v>
      </c>
      <c r="DF10" s="6">
        <f t="shared" si="15"/>
        <v>170</v>
      </c>
      <c r="DG10" s="6">
        <v>24.1</v>
      </c>
      <c r="DH10" s="6">
        <v>26.7</v>
      </c>
      <c r="DI10" s="6">
        <v>259.68</v>
      </c>
      <c r="DJ10" s="6">
        <v>230.68</v>
      </c>
      <c r="DK10" s="6">
        <v>83.17</v>
      </c>
      <c r="DL10" s="6">
        <v>44.72</v>
      </c>
      <c r="DM10" s="30">
        <f t="shared" si="45"/>
        <v>-46.230611999519063</v>
      </c>
      <c r="DN10" s="6">
        <v>897.23</v>
      </c>
      <c r="DO10" s="6">
        <v>955.2</v>
      </c>
      <c r="DP10" s="30">
        <f t="shared" si="46"/>
        <v>6.4609966229394935</v>
      </c>
      <c r="DQ10" s="6">
        <v>7.89</v>
      </c>
      <c r="DR10" s="6">
        <v>10</v>
      </c>
      <c r="DS10" s="30">
        <f t="shared" si="47"/>
        <v>26.742712294043098</v>
      </c>
      <c r="DT10" s="7">
        <v>477.79</v>
      </c>
      <c r="DU10" s="7">
        <v>454.47</v>
      </c>
      <c r="DV10" s="30">
        <f t="shared" si="48"/>
        <v>-4.8808053747462257</v>
      </c>
      <c r="DW10" s="6">
        <v>0.247</v>
      </c>
      <c r="DX10" s="6">
        <v>0.499</v>
      </c>
      <c r="DY10" s="30">
        <f t="shared" si="49"/>
        <v>102.02429149797571</v>
      </c>
      <c r="DZ10" s="6">
        <v>1318816.68</v>
      </c>
      <c r="EA10" s="6">
        <v>1373885.78</v>
      </c>
      <c r="EB10" s="30">
        <f t="shared" si="50"/>
        <v>4.1756447909045331</v>
      </c>
      <c r="EC10" s="6">
        <v>2.09</v>
      </c>
      <c r="ED10" s="6">
        <v>0.89</v>
      </c>
      <c r="EE10" s="30">
        <f t="shared" si="51"/>
        <v>-57.416267942583723</v>
      </c>
      <c r="EF10" s="6">
        <f t="shared" si="16"/>
        <v>249.23055555555555</v>
      </c>
      <c r="EG10" s="6">
        <f t="shared" si="17"/>
        <v>258.16216216216219</v>
      </c>
      <c r="EH10" s="6">
        <v>35.76</v>
      </c>
      <c r="EI10" s="6">
        <v>36.39</v>
      </c>
      <c r="EJ10" s="30">
        <f t="shared" si="52"/>
        <v>1.7617449664429601</v>
      </c>
      <c r="EK10" s="6">
        <v>50.31</v>
      </c>
      <c r="EL10" s="6">
        <v>33.36</v>
      </c>
      <c r="EM10" s="30">
        <f t="shared" si="53"/>
        <v>-33.691115086463931</v>
      </c>
    </row>
    <row r="11" spans="1:143">
      <c r="A11" s="5">
        <v>41</v>
      </c>
      <c r="B11" s="6">
        <v>1</v>
      </c>
      <c r="C11" s="6">
        <v>1</v>
      </c>
      <c r="D11" s="6">
        <v>44</v>
      </c>
      <c r="E11" s="6">
        <v>1</v>
      </c>
      <c r="F11" s="6"/>
      <c r="G11" s="6">
        <v>2</v>
      </c>
      <c r="H11" s="6">
        <v>1</v>
      </c>
      <c r="I11" s="6">
        <v>75.8</v>
      </c>
      <c r="J11" s="6">
        <v>77.099999999999994</v>
      </c>
      <c r="K11" s="30">
        <f t="shared" si="18"/>
        <v>1.715039577836408</v>
      </c>
      <c r="L11" s="6">
        <v>1.55</v>
      </c>
      <c r="M11" s="6">
        <v>1.55</v>
      </c>
      <c r="N11" s="6">
        <v>31.58</v>
      </c>
      <c r="O11" s="6">
        <v>32.130000000000003</v>
      </c>
      <c r="P11" s="30">
        <f t="shared" si="19"/>
        <v>1.7416086130462454</v>
      </c>
      <c r="Q11" s="6">
        <v>88</v>
      </c>
      <c r="R11" s="6">
        <v>87</v>
      </c>
      <c r="S11" s="30">
        <f t="shared" si="20"/>
        <v>-1.1363636363636365</v>
      </c>
      <c r="T11" s="6">
        <v>98</v>
      </c>
      <c r="U11" s="6">
        <v>99</v>
      </c>
      <c r="V11" s="30">
        <f t="shared" si="21"/>
        <v>1.0204081632653061</v>
      </c>
      <c r="W11" s="6">
        <v>114</v>
      </c>
      <c r="X11" s="6">
        <v>114</v>
      </c>
      <c r="Y11" s="30">
        <f t="shared" si="22"/>
        <v>0</v>
      </c>
      <c r="Z11" s="6">
        <v>115</v>
      </c>
      <c r="AA11" s="6">
        <v>105</v>
      </c>
      <c r="AB11" s="30">
        <f t="shared" si="23"/>
        <v>-8.695652173913043</v>
      </c>
      <c r="AC11" s="6">
        <v>75</v>
      </c>
      <c r="AD11" s="6">
        <v>70</v>
      </c>
      <c r="AE11" s="30">
        <f t="shared" si="24"/>
        <v>-6.666666666666667</v>
      </c>
      <c r="AF11" s="6">
        <v>42.7</v>
      </c>
      <c r="AG11" s="6">
        <v>41.6</v>
      </c>
      <c r="AH11" s="30">
        <f t="shared" si="25"/>
        <v>-2.5761124121779893</v>
      </c>
      <c r="AI11" s="6">
        <v>556</v>
      </c>
      <c r="AJ11" s="6">
        <v>474</v>
      </c>
      <c r="AK11" s="30">
        <f t="shared" si="26"/>
        <v>-14.748201438848922</v>
      </c>
      <c r="AL11" s="6">
        <v>44</v>
      </c>
      <c r="AM11" s="6">
        <v>45</v>
      </c>
      <c r="AN11" s="7">
        <v>84</v>
      </c>
      <c r="AO11" s="8">
        <v>86</v>
      </c>
      <c r="AP11" s="30">
        <f t="shared" si="27"/>
        <v>2.3809523809523809</v>
      </c>
      <c r="AQ11" s="7">
        <v>43</v>
      </c>
      <c r="AR11" s="8">
        <v>31</v>
      </c>
      <c r="AS11" s="30">
        <f t="shared" si="28"/>
        <v>-27.906976744186046</v>
      </c>
      <c r="AT11" s="7">
        <v>0.79</v>
      </c>
      <c r="AU11" s="11">
        <v>0.73</v>
      </c>
      <c r="AV11" s="30">
        <f t="shared" si="29"/>
        <v>-7.5949367088607653</v>
      </c>
      <c r="AW11" s="7">
        <v>0.42</v>
      </c>
      <c r="AX11" s="11">
        <v>0.53</v>
      </c>
      <c r="AY11" s="30">
        <f t="shared" si="30"/>
        <v>26.190476190476204</v>
      </c>
      <c r="AZ11" s="7">
        <v>0.09</v>
      </c>
      <c r="BA11" s="11">
        <v>0.14000000000000001</v>
      </c>
      <c r="BB11" s="30">
        <f t="shared" si="31"/>
        <v>55.555555555555578</v>
      </c>
      <c r="BC11" s="7">
        <f t="shared" si="54"/>
        <v>0.32999999999999996</v>
      </c>
      <c r="BD11" s="7">
        <f t="shared" si="32"/>
        <v>0.39</v>
      </c>
      <c r="BE11" s="30">
        <f t="shared" si="33"/>
        <v>18.181818181818198</v>
      </c>
      <c r="BF11" s="7">
        <v>20</v>
      </c>
      <c r="BG11" s="8">
        <v>20</v>
      </c>
      <c r="BH11" s="7">
        <v>21</v>
      </c>
      <c r="BI11" s="8">
        <v>18</v>
      </c>
      <c r="BJ11" s="7">
        <v>35</v>
      </c>
      <c r="BK11" s="8">
        <v>28</v>
      </c>
      <c r="BL11" s="7">
        <v>4.8</v>
      </c>
      <c r="BM11" s="9">
        <v>4.9000000000000004</v>
      </c>
      <c r="BN11" s="30">
        <f t="shared" si="34"/>
        <v>2.0833333333333446</v>
      </c>
      <c r="BO11" s="7">
        <v>7.02</v>
      </c>
      <c r="BP11" s="11">
        <v>6.78</v>
      </c>
      <c r="BQ11" s="30">
        <f t="shared" si="35"/>
        <v>-3.4188034188034093</v>
      </c>
      <c r="BR11" s="7">
        <v>3.81</v>
      </c>
      <c r="BS11" s="11">
        <v>3.71</v>
      </c>
      <c r="BT11" s="30">
        <f t="shared" si="36"/>
        <v>-2.624671916010501</v>
      </c>
      <c r="BU11" s="7">
        <f t="shared" si="0"/>
        <v>3.2099999999999995</v>
      </c>
      <c r="BV11" s="7">
        <f t="shared" si="1"/>
        <v>3.0700000000000003</v>
      </c>
      <c r="BW11" s="30">
        <f t="shared" si="37"/>
        <v>-4.3613707165108799</v>
      </c>
      <c r="BX11" s="7">
        <v>208</v>
      </c>
      <c r="BY11" s="8">
        <v>191</v>
      </c>
      <c r="BZ11" s="30">
        <f t="shared" si="38"/>
        <v>-8.1730769230769234</v>
      </c>
      <c r="CA11" s="7">
        <v>54</v>
      </c>
      <c r="CB11" s="8">
        <v>54</v>
      </c>
      <c r="CC11" s="30">
        <f t="shared" si="39"/>
        <v>0</v>
      </c>
      <c r="CD11" s="7">
        <f t="shared" si="2"/>
        <v>135.19999999999999</v>
      </c>
      <c r="CE11" s="7">
        <f t="shared" si="3"/>
        <v>121.4</v>
      </c>
      <c r="CF11" s="30">
        <f t="shared" si="40"/>
        <v>-10.207100591715964</v>
      </c>
      <c r="CG11" s="7">
        <v>94</v>
      </c>
      <c r="CH11" s="8">
        <v>78</v>
      </c>
      <c r="CI11" s="30">
        <f t="shared" si="41"/>
        <v>-17.021276595744681</v>
      </c>
      <c r="CJ11" s="7">
        <v>3.7</v>
      </c>
      <c r="CK11" s="9">
        <v>6.3</v>
      </c>
      <c r="CL11" s="30">
        <f t="shared" si="42"/>
        <v>70.270270270270245</v>
      </c>
      <c r="CM11" s="7">
        <v>12.6</v>
      </c>
      <c r="CN11" s="10" t="s">
        <v>159</v>
      </c>
      <c r="CO11" s="30" t="e">
        <f t="shared" si="43"/>
        <v>#VALUE!</v>
      </c>
      <c r="CP11" s="7">
        <v>24</v>
      </c>
      <c r="CQ11" s="10" t="s">
        <v>160</v>
      </c>
      <c r="CR11" s="7">
        <v>45.6</v>
      </c>
      <c r="CS11" s="8" t="s">
        <v>161</v>
      </c>
      <c r="CT11" s="7">
        <f t="shared" si="4"/>
        <v>2.6328358208955223</v>
      </c>
      <c r="CU11" s="7" t="e">
        <f t="shared" si="5"/>
        <v>#VALUE!</v>
      </c>
      <c r="CV11" s="30" t="e">
        <f t="shared" si="44"/>
        <v>#VALUE!</v>
      </c>
      <c r="CW11" s="6">
        <f t="shared" si="6"/>
        <v>2.2127659574468086</v>
      </c>
      <c r="CX11" s="6">
        <f t="shared" si="7"/>
        <v>2.4487179487179489</v>
      </c>
      <c r="CY11" s="6">
        <f t="shared" si="8"/>
        <v>1.4382978723404254</v>
      </c>
      <c r="CZ11" s="6">
        <f t="shared" si="9"/>
        <v>1.5564102564102564</v>
      </c>
      <c r="DA11" s="6">
        <f t="shared" si="10"/>
        <v>3.8518518518518516</v>
      </c>
      <c r="DB11" s="6">
        <f t="shared" si="11"/>
        <v>3.5370370370370372</v>
      </c>
      <c r="DC11" s="6">
        <f t="shared" si="12"/>
        <v>2.5037037037037035</v>
      </c>
      <c r="DD11" s="6">
        <f t="shared" si="13"/>
        <v>2.2481481481481485</v>
      </c>
      <c r="DE11" s="6">
        <f t="shared" si="14"/>
        <v>154</v>
      </c>
      <c r="DF11" s="6">
        <f t="shared" si="15"/>
        <v>137</v>
      </c>
      <c r="DG11" s="6">
        <v>25.7</v>
      </c>
      <c r="DH11" s="6">
        <v>20.5</v>
      </c>
      <c r="DI11" s="6">
        <v>223.08</v>
      </c>
      <c r="DJ11" s="6">
        <v>234.18</v>
      </c>
      <c r="DK11" s="6">
        <v>86.68</v>
      </c>
      <c r="DL11" s="6">
        <v>42.21</v>
      </c>
      <c r="DM11" s="30">
        <f t="shared" si="45"/>
        <v>-51.303645592985703</v>
      </c>
      <c r="DN11" s="6">
        <v>1063.0899999999999</v>
      </c>
      <c r="DO11" s="6">
        <v>1044.1099999999999</v>
      </c>
      <c r="DP11" s="30">
        <f t="shared" si="46"/>
        <v>-1.7853615404152066</v>
      </c>
      <c r="DQ11" s="6">
        <v>7.02</v>
      </c>
      <c r="DR11" s="6">
        <v>5.2</v>
      </c>
      <c r="DS11" s="30">
        <f t="shared" si="47"/>
        <v>-25.92592592592592</v>
      </c>
      <c r="DT11" s="7">
        <v>430.54</v>
      </c>
      <c r="DU11" s="7">
        <v>532.25</v>
      </c>
      <c r="DV11" s="30">
        <f t="shared" si="48"/>
        <v>23.623821247735396</v>
      </c>
      <c r="DW11" s="6">
        <v>0.61199999999999999</v>
      </c>
      <c r="DX11" s="6">
        <v>0.61799999999999999</v>
      </c>
      <c r="DY11" s="30">
        <f t="shared" si="49"/>
        <v>0.98039215686274594</v>
      </c>
      <c r="DZ11" s="6">
        <v>922451.56</v>
      </c>
      <c r="EA11" s="6">
        <v>2427381.3199999998</v>
      </c>
      <c r="EB11" s="30">
        <f t="shared" si="50"/>
        <v>163.14458398227433</v>
      </c>
      <c r="EC11" s="6">
        <v>4.6500000000000004</v>
      </c>
      <c r="ED11" s="6">
        <v>4.8099999999999996</v>
      </c>
      <c r="EE11" s="30">
        <f t="shared" si="51"/>
        <v>3.4408602150537475</v>
      </c>
      <c r="EF11" s="6">
        <f t="shared" si="16"/>
        <v>221.47708333333333</v>
      </c>
      <c r="EG11" s="6">
        <f t="shared" si="17"/>
        <v>213.08367346938772</v>
      </c>
      <c r="EH11" s="6">
        <v>45.56</v>
      </c>
      <c r="EI11" s="6">
        <v>39.229999999999997</v>
      </c>
      <c r="EJ11" s="30">
        <f t="shared" si="52"/>
        <v>-13.893766461808616</v>
      </c>
      <c r="EK11" s="6">
        <v>45.22</v>
      </c>
      <c r="EL11" s="6">
        <v>15.9</v>
      </c>
      <c r="EM11" s="30">
        <f t="shared" si="53"/>
        <v>-64.838567005749667</v>
      </c>
    </row>
    <row r="12" spans="1:143">
      <c r="A12" s="5">
        <v>48</v>
      </c>
      <c r="B12" s="6">
        <v>1</v>
      </c>
      <c r="C12" s="6">
        <v>1</v>
      </c>
      <c r="D12" s="6">
        <v>57</v>
      </c>
      <c r="E12" s="6">
        <v>2</v>
      </c>
      <c r="F12" s="6" t="s">
        <v>162</v>
      </c>
      <c r="G12" s="6">
        <v>2</v>
      </c>
      <c r="H12" s="6">
        <v>1</v>
      </c>
      <c r="I12" s="6">
        <v>97.1</v>
      </c>
      <c r="J12" s="6">
        <v>98.5</v>
      </c>
      <c r="K12" s="30">
        <f t="shared" si="18"/>
        <v>1.4418125643666382</v>
      </c>
      <c r="L12" s="6">
        <v>1.67</v>
      </c>
      <c r="M12" s="6">
        <v>1.67</v>
      </c>
      <c r="N12" s="6">
        <v>34.82</v>
      </c>
      <c r="O12" s="6">
        <v>35.32</v>
      </c>
      <c r="P12" s="30">
        <f t="shared" si="19"/>
        <v>1.4359563469270535</v>
      </c>
      <c r="Q12" s="6">
        <v>108</v>
      </c>
      <c r="R12" s="6">
        <v>110</v>
      </c>
      <c r="S12" s="30">
        <f t="shared" si="20"/>
        <v>1.8518518518518516</v>
      </c>
      <c r="T12" s="6">
        <v>104</v>
      </c>
      <c r="U12" s="6">
        <v>107</v>
      </c>
      <c r="V12" s="30">
        <f t="shared" si="21"/>
        <v>2.8846153846153846</v>
      </c>
      <c r="W12" s="6">
        <v>108</v>
      </c>
      <c r="X12" s="6">
        <v>108</v>
      </c>
      <c r="Y12" s="30">
        <f t="shared" si="22"/>
        <v>0</v>
      </c>
      <c r="Z12" s="6">
        <v>130</v>
      </c>
      <c r="AA12" s="6">
        <v>165</v>
      </c>
      <c r="AB12" s="30">
        <f t="shared" si="23"/>
        <v>26.923076923076923</v>
      </c>
      <c r="AC12" s="6">
        <v>90</v>
      </c>
      <c r="AD12" s="6">
        <v>90</v>
      </c>
      <c r="AE12" s="30">
        <f t="shared" si="24"/>
        <v>0</v>
      </c>
      <c r="AF12" s="6">
        <v>35.6</v>
      </c>
      <c r="AG12" s="6">
        <v>35.1</v>
      </c>
      <c r="AH12" s="30">
        <f t="shared" si="25"/>
        <v>-1.4044943820224718</v>
      </c>
      <c r="AI12" s="6">
        <v>422</v>
      </c>
      <c r="AJ12" s="6">
        <v>404</v>
      </c>
      <c r="AK12" s="30">
        <f t="shared" si="26"/>
        <v>-4.2654028436018958</v>
      </c>
      <c r="AL12" s="6">
        <v>45</v>
      </c>
      <c r="AM12" s="6">
        <v>43</v>
      </c>
      <c r="AN12" s="7">
        <v>184</v>
      </c>
      <c r="AO12" s="8">
        <v>193</v>
      </c>
      <c r="AP12" s="30">
        <f t="shared" si="27"/>
        <v>4.8913043478260869</v>
      </c>
      <c r="AQ12" s="7">
        <v>33</v>
      </c>
      <c r="AR12" s="8">
        <v>28</v>
      </c>
      <c r="AS12" s="30">
        <f t="shared" si="28"/>
        <v>-15.151515151515152</v>
      </c>
      <c r="AT12" s="7">
        <v>0.95</v>
      </c>
      <c r="AU12" s="11">
        <v>0.87</v>
      </c>
      <c r="AV12" s="30">
        <f t="shared" si="29"/>
        <v>-8.4210526315789433</v>
      </c>
      <c r="AW12" s="7">
        <v>0.38</v>
      </c>
      <c r="AX12" s="11">
        <v>0.24</v>
      </c>
      <c r="AY12" s="30">
        <f t="shared" si="30"/>
        <v>-36.842105263157897</v>
      </c>
      <c r="AZ12" s="7">
        <v>0.11</v>
      </c>
      <c r="BA12" s="11">
        <v>0.09</v>
      </c>
      <c r="BB12" s="30">
        <f t="shared" si="31"/>
        <v>-18.181818181818183</v>
      </c>
      <c r="BC12" s="7">
        <f t="shared" si="54"/>
        <v>0.27</v>
      </c>
      <c r="BD12" s="7">
        <f t="shared" si="32"/>
        <v>0.15</v>
      </c>
      <c r="BE12" s="30">
        <f t="shared" si="33"/>
        <v>-44.44444444444445</v>
      </c>
      <c r="BF12" s="7">
        <v>173</v>
      </c>
      <c r="BG12" s="8">
        <v>216</v>
      </c>
      <c r="BH12" s="7">
        <v>19</v>
      </c>
      <c r="BI12" s="8">
        <v>23</v>
      </c>
      <c r="BJ12" s="7">
        <v>37</v>
      </c>
      <c r="BK12" s="8">
        <v>43</v>
      </c>
      <c r="BL12" s="7">
        <v>4.5</v>
      </c>
      <c r="BM12" s="9">
        <v>4.3</v>
      </c>
      <c r="BN12" s="30">
        <f t="shared" si="34"/>
        <v>-4.4444444444444482</v>
      </c>
      <c r="BO12" s="7">
        <v>7.8</v>
      </c>
      <c r="BP12" s="11">
        <v>7.08</v>
      </c>
      <c r="BQ12" s="30">
        <f t="shared" si="35"/>
        <v>-9.2307692307692264</v>
      </c>
      <c r="BR12" s="7">
        <v>4.0199999999999996</v>
      </c>
      <c r="BS12" s="11">
        <v>3.67</v>
      </c>
      <c r="BT12" s="30">
        <f t="shared" si="36"/>
        <v>-8.7064676616915353</v>
      </c>
      <c r="BU12" s="7">
        <f t="shared" si="0"/>
        <v>3.7800000000000002</v>
      </c>
      <c r="BV12" s="7">
        <f t="shared" si="1"/>
        <v>3.41</v>
      </c>
      <c r="BW12" s="30">
        <f t="shared" si="37"/>
        <v>-9.7883597883597915</v>
      </c>
      <c r="BX12" s="7">
        <v>226</v>
      </c>
      <c r="BY12" s="8">
        <v>215</v>
      </c>
      <c r="BZ12" s="30">
        <f t="shared" si="38"/>
        <v>-4.8672566371681416</v>
      </c>
      <c r="CA12" s="7">
        <v>41</v>
      </c>
      <c r="CB12" s="8">
        <v>52</v>
      </c>
      <c r="CC12" s="30">
        <f t="shared" si="39"/>
        <v>26.829268292682929</v>
      </c>
      <c r="CD12" s="7">
        <f t="shared" si="2"/>
        <v>129.6</v>
      </c>
      <c r="CE12" s="7">
        <f t="shared" si="3"/>
        <v>130.19999999999999</v>
      </c>
      <c r="CF12" s="30">
        <f t="shared" si="40"/>
        <v>0.46296296296295858</v>
      </c>
      <c r="CG12" s="7">
        <v>277</v>
      </c>
      <c r="CH12" s="8">
        <v>164</v>
      </c>
      <c r="CI12" s="30">
        <f t="shared" si="41"/>
        <v>-40.794223826714806</v>
      </c>
      <c r="CJ12" s="7">
        <v>10</v>
      </c>
      <c r="CK12" s="9">
        <v>7.2</v>
      </c>
      <c r="CL12" s="30">
        <f t="shared" si="42"/>
        <v>-27.999999999999996</v>
      </c>
      <c r="CM12" s="7">
        <v>14.1</v>
      </c>
      <c r="CN12" s="10" t="s">
        <v>163</v>
      </c>
      <c r="CO12" s="30" t="e">
        <f t="shared" si="43"/>
        <v>#VALUE!</v>
      </c>
      <c r="CP12" s="7">
        <v>34.799999999999997</v>
      </c>
      <c r="CQ12" s="10" t="s">
        <v>164</v>
      </c>
      <c r="CR12" s="7">
        <v>36.5</v>
      </c>
      <c r="CS12" s="8" t="s">
        <v>165</v>
      </c>
      <c r="CT12" s="7">
        <f t="shared" si="4"/>
        <v>6.4537313432835823</v>
      </c>
      <c r="CU12" s="7" t="e">
        <f t="shared" si="5"/>
        <v>#VALUE!</v>
      </c>
      <c r="CV12" s="30" t="e">
        <f t="shared" si="44"/>
        <v>#VALUE!</v>
      </c>
      <c r="CW12" s="6">
        <f t="shared" si="6"/>
        <v>0.81588447653429608</v>
      </c>
      <c r="CX12" s="6">
        <f t="shared" si="7"/>
        <v>1.3109756097560976</v>
      </c>
      <c r="CY12" s="6">
        <f t="shared" si="8"/>
        <v>0.46787003610108302</v>
      </c>
      <c r="CZ12" s="6">
        <f t="shared" si="9"/>
        <v>0.79390243902439017</v>
      </c>
      <c r="DA12" s="6">
        <f t="shared" si="10"/>
        <v>5.5121951219512191</v>
      </c>
      <c r="DB12" s="6">
        <f t="shared" si="11"/>
        <v>4.134615384615385</v>
      </c>
      <c r="DC12" s="6">
        <f t="shared" si="12"/>
        <v>3.1609756097560973</v>
      </c>
      <c r="DD12" s="6">
        <f t="shared" si="13"/>
        <v>2.5038461538461538</v>
      </c>
      <c r="DE12" s="6">
        <f t="shared" si="14"/>
        <v>185</v>
      </c>
      <c r="DF12" s="6">
        <f t="shared" si="15"/>
        <v>163</v>
      </c>
      <c r="DG12" s="6">
        <v>37.4</v>
      </c>
      <c r="DH12" s="6">
        <v>35.799999999999997</v>
      </c>
      <c r="DI12" s="6">
        <v>223.08</v>
      </c>
      <c r="DJ12" s="6">
        <v>248.78</v>
      </c>
      <c r="DK12" s="6">
        <v>175.12</v>
      </c>
      <c r="DL12" s="6">
        <v>72.11</v>
      </c>
      <c r="DM12" s="30">
        <f t="shared" si="45"/>
        <v>-58.822521699406124</v>
      </c>
      <c r="DN12" s="6">
        <v>1144.5999999999999</v>
      </c>
      <c r="DO12" s="6">
        <v>972.1</v>
      </c>
      <c r="DP12" s="30">
        <f t="shared" si="46"/>
        <v>-15.070767080202682</v>
      </c>
      <c r="DQ12" s="6">
        <v>12.24</v>
      </c>
      <c r="DR12" s="6">
        <v>4.5</v>
      </c>
      <c r="DS12" s="30">
        <f t="shared" si="47"/>
        <v>-63.235294117647058</v>
      </c>
      <c r="DT12" s="7">
        <v>523.30999999999995</v>
      </c>
      <c r="DU12" s="7">
        <v>622.45000000000005</v>
      </c>
      <c r="DV12" s="30">
        <f t="shared" si="48"/>
        <v>18.944793716917335</v>
      </c>
      <c r="DW12" s="6">
        <v>0.318</v>
      </c>
      <c r="DX12" s="6">
        <v>0.36499999999999999</v>
      </c>
      <c r="DY12" s="30">
        <f t="shared" si="49"/>
        <v>14.779874213836475</v>
      </c>
      <c r="DZ12" s="6">
        <v>728558.4</v>
      </c>
      <c r="EA12" s="6">
        <v>1634399.04</v>
      </c>
      <c r="EB12" s="30">
        <f t="shared" si="50"/>
        <v>124.33329160709697</v>
      </c>
      <c r="EC12" s="6">
        <v>1.75</v>
      </c>
      <c r="ED12" s="6">
        <v>3.45</v>
      </c>
      <c r="EE12" s="30">
        <f t="shared" si="51"/>
        <v>97.142857142857153</v>
      </c>
      <c r="EF12" s="6">
        <f t="shared" si="16"/>
        <v>254.35555555555553</v>
      </c>
      <c r="EG12" s="6">
        <f t="shared" si="17"/>
        <v>226.06976744186048</v>
      </c>
      <c r="EH12" s="6">
        <v>36.15</v>
      </c>
      <c r="EI12" s="6">
        <v>51.35</v>
      </c>
      <c r="EJ12" s="30">
        <f t="shared" si="52"/>
        <v>42.047026279391439</v>
      </c>
      <c r="EK12" s="6">
        <v>36.75</v>
      </c>
      <c r="EL12" s="6">
        <v>5.46</v>
      </c>
      <c r="EM12" s="30">
        <f t="shared" si="53"/>
        <v>-85.142857142857139</v>
      </c>
    </row>
    <row r="13" spans="1:143">
      <c r="A13" s="5">
        <v>51</v>
      </c>
      <c r="B13" s="6">
        <v>1</v>
      </c>
      <c r="C13" s="6">
        <v>1</v>
      </c>
      <c r="D13" s="6">
        <v>34</v>
      </c>
      <c r="E13" s="6">
        <v>2</v>
      </c>
      <c r="F13" s="6" t="s">
        <v>166</v>
      </c>
      <c r="G13" s="6">
        <v>2</v>
      </c>
      <c r="H13" s="6">
        <v>1</v>
      </c>
      <c r="I13" s="6">
        <v>126.4</v>
      </c>
      <c r="J13" s="6">
        <v>127.5</v>
      </c>
      <c r="K13" s="30">
        <f t="shared" si="18"/>
        <v>0.87025316455695745</v>
      </c>
      <c r="L13" s="6">
        <v>1.89</v>
      </c>
      <c r="M13" s="6">
        <v>1.89</v>
      </c>
      <c r="N13" s="6">
        <v>35.39</v>
      </c>
      <c r="O13" s="6">
        <v>35.71</v>
      </c>
      <c r="P13" s="30">
        <f t="shared" si="19"/>
        <v>0.90421022887821489</v>
      </c>
      <c r="Q13" s="6">
        <v>102</v>
      </c>
      <c r="R13" s="6">
        <v>116</v>
      </c>
      <c r="S13" s="30">
        <f t="shared" si="20"/>
        <v>13.725490196078432</v>
      </c>
      <c r="T13" s="6">
        <v>105</v>
      </c>
      <c r="U13" s="6">
        <v>120</v>
      </c>
      <c r="V13" s="30">
        <f t="shared" si="21"/>
        <v>14.285714285714285</v>
      </c>
      <c r="W13" s="6">
        <v>107</v>
      </c>
      <c r="X13" s="6">
        <v>119</v>
      </c>
      <c r="Y13" s="30">
        <f t="shared" si="22"/>
        <v>11.214953271028037</v>
      </c>
      <c r="Z13" s="6">
        <v>110</v>
      </c>
      <c r="AA13" s="6">
        <v>115</v>
      </c>
      <c r="AB13" s="30">
        <f t="shared" si="23"/>
        <v>4.5454545454545459</v>
      </c>
      <c r="AC13" s="6">
        <v>80</v>
      </c>
      <c r="AD13" s="6">
        <v>80</v>
      </c>
      <c r="AE13" s="30">
        <f t="shared" si="24"/>
        <v>0</v>
      </c>
      <c r="AF13" s="6">
        <v>32.6</v>
      </c>
      <c r="AG13" s="6">
        <v>32.299999999999997</v>
      </c>
      <c r="AH13" s="30">
        <f t="shared" si="25"/>
        <v>-0.92024539877301925</v>
      </c>
      <c r="AI13" s="6">
        <v>354</v>
      </c>
      <c r="AJ13" s="6">
        <v>344</v>
      </c>
      <c r="AK13" s="30">
        <f t="shared" si="26"/>
        <v>-2.8248587570621471</v>
      </c>
      <c r="AL13" s="6">
        <v>43</v>
      </c>
      <c r="AM13" s="6">
        <v>41</v>
      </c>
      <c r="AN13" s="7">
        <v>193</v>
      </c>
      <c r="AO13" s="8">
        <v>195</v>
      </c>
      <c r="AP13" s="30">
        <f t="shared" si="27"/>
        <v>1.0362694300518136</v>
      </c>
      <c r="AQ13" s="7">
        <v>22</v>
      </c>
      <c r="AR13" s="8">
        <v>34</v>
      </c>
      <c r="AS13" s="30">
        <f t="shared" si="28"/>
        <v>54.54545454545454</v>
      </c>
      <c r="AT13" s="7">
        <v>1.1200000000000001</v>
      </c>
      <c r="AU13" s="11">
        <v>1.04</v>
      </c>
      <c r="AV13" s="30">
        <f t="shared" si="29"/>
        <v>-7.1428571428571477</v>
      </c>
      <c r="AW13" s="7">
        <v>0.71</v>
      </c>
      <c r="AX13" s="11">
        <v>0.61</v>
      </c>
      <c r="AY13" s="30">
        <f t="shared" si="30"/>
        <v>-14.084507042253518</v>
      </c>
      <c r="AZ13" s="7">
        <v>0.14000000000000001</v>
      </c>
      <c r="BA13" s="11">
        <v>0.14000000000000001</v>
      </c>
      <c r="BB13" s="30">
        <f t="shared" si="31"/>
        <v>0</v>
      </c>
      <c r="BC13" s="7">
        <f t="shared" si="54"/>
        <v>0.56999999999999995</v>
      </c>
      <c r="BD13" s="7">
        <f t="shared" si="32"/>
        <v>0.47</v>
      </c>
      <c r="BE13" s="30">
        <f t="shared" si="33"/>
        <v>-17.543859649122805</v>
      </c>
      <c r="BF13" s="7">
        <v>50</v>
      </c>
      <c r="BG13" s="8">
        <v>57</v>
      </c>
      <c r="BH13" s="7">
        <v>27</v>
      </c>
      <c r="BI13" s="8">
        <v>34</v>
      </c>
      <c r="BJ13" s="7">
        <v>61</v>
      </c>
      <c r="BK13" s="8">
        <v>86</v>
      </c>
      <c r="BL13" s="7">
        <v>6.1</v>
      </c>
      <c r="BM13" s="9">
        <v>6.9</v>
      </c>
      <c r="BN13" s="30">
        <f t="shared" si="34"/>
        <v>13.114754098360667</v>
      </c>
      <c r="BO13" s="7">
        <v>7.32</v>
      </c>
      <c r="BP13" s="11">
        <v>6.88</v>
      </c>
      <c r="BQ13" s="30">
        <f t="shared" si="35"/>
        <v>-6.0109289617486388</v>
      </c>
      <c r="BR13" s="7">
        <v>3.86</v>
      </c>
      <c r="BS13" s="11">
        <v>3.79</v>
      </c>
      <c r="BT13" s="30">
        <f t="shared" si="36"/>
        <v>-1.8134715025906696</v>
      </c>
      <c r="BU13" s="7">
        <f t="shared" si="0"/>
        <v>3.4600000000000004</v>
      </c>
      <c r="BV13" s="7">
        <f t="shared" si="1"/>
        <v>3.09</v>
      </c>
      <c r="BW13" s="30">
        <f t="shared" si="37"/>
        <v>-10.693641618497123</v>
      </c>
      <c r="BX13" s="7">
        <v>130</v>
      </c>
      <c r="BY13" s="8">
        <v>134</v>
      </c>
      <c r="BZ13" s="30">
        <f t="shared" si="38"/>
        <v>3.0769230769230771</v>
      </c>
      <c r="CA13" s="7">
        <v>25</v>
      </c>
      <c r="CB13" s="8">
        <v>25</v>
      </c>
      <c r="CC13" s="30">
        <f t="shared" si="39"/>
        <v>0</v>
      </c>
      <c r="CD13" s="7">
        <f t="shared" si="2"/>
        <v>52.8</v>
      </c>
      <c r="CE13" s="7">
        <f t="shared" si="3"/>
        <v>63.599999999999994</v>
      </c>
      <c r="CF13" s="30">
        <f t="shared" si="40"/>
        <v>20.45454545454545</v>
      </c>
      <c r="CG13" s="7">
        <v>261</v>
      </c>
      <c r="CH13" s="8">
        <v>227</v>
      </c>
      <c r="CI13" s="30">
        <f t="shared" si="41"/>
        <v>-13.026819923371647</v>
      </c>
      <c r="CJ13" s="7">
        <v>2.1</v>
      </c>
      <c r="CK13" s="9">
        <v>2.2000000000000002</v>
      </c>
      <c r="CL13" s="30">
        <f t="shared" si="42"/>
        <v>4.7619047619047654</v>
      </c>
      <c r="CM13" s="7">
        <v>27</v>
      </c>
      <c r="CN13" s="10" t="s">
        <v>167</v>
      </c>
      <c r="CO13" s="30" t="e">
        <f t="shared" si="43"/>
        <v>#VALUE!</v>
      </c>
      <c r="CP13" s="7">
        <v>24.8</v>
      </c>
      <c r="CQ13" s="10" t="s">
        <v>168</v>
      </c>
      <c r="CR13" s="7">
        <v>60.7</v>
      </c>
      <c r="CS13" s="7">
        <v>52</v>
      </c>
      <c r="CT13" s="7">
        <f t="shared" si="4"/>
        <v>12.962686567164178</v>
      </c>
      <c r="CU13" s="7" t="e">
        <f t="shared" si="5"/>
        <v>#VALUE!</v>
      </c>
      <c r="CV13" s="30" t="e">
        <f t="shared" si="44"/>
        <v>#VALUE!</v>
      </c>
      <c r="CW13" s="6">
        <f t="shared" si="6"/>
        <v>0.49808429118773945</v>
      </c>
      <c r="CX13" s="6">
        <f t="shared" si="7"/>
        <v>0.5903083700440529</v>
      </c>
      <c r="CY13" s="6">
        <f t="shared" si="8"/>
        <v>0.20229885057471264</v>
      </c>
      <c r="CZ13" s="6">
        <f t="shared" si="9"/>
        <v>0.28017621145374449</v>
      </c>
      <c r="DA13" s="6">
        <f t="shared" si="10"/>
        <v>5.2</v>
      </c>
      <c r="DB13" s="6">
        <f t="shared" si="11"/>
        <v>5.36</v>
      </c>
      <c r="DC13" s="6">
        <f t="shared" si="12"/>
        <v>2.1120000000000001</v>
      </c>
      <c r="DD13" s="6">
        <f t="shared" si="13"/>
        <v>2.5439999999999996</v>
      </c>
      <c r="DE13" s="6">
        <f t="shared" si="14"/>
        <v>105</v>
      </c>
      <c r="DF13" s="6">
        <f t="shared" si="15"/>
        <v>109</v>
      </c>
      <c r="DG13" s="6">
        <v>30.1</v>
      </c>
      <c r="DH13" s="6">
        <v>31.9</v>
      </c>
      <c r="DI13" s="6">
        <v>269.98</v>
      </c>
      <c r="DJ13" s="6">
        <v>461.94</v>
      </c>
      <c r="DK13" s="6">
        <v>149.81</v>
      </c>
      <c r="DL13" s="6">
        <v>127.13</v>
      </c>
      <c r="DM13" s="30">
        <f t="shared" si="45"/>
        <v>-15.139176289967295</v>
      </c>
      <c r="DN13" s="6">
        <v>1332.66</v>
      </c>
      <c r="DO13" s="6">
        <v>1180.8900000000001</v>
      </c>
      <c r="DP13" s="30">
        <f t="shared" si="46"/>
        <v>-11.388501193102513</v>
      </c>
      <c r="DQ13" s="6">
        <v>8.83</v>
      </c>
      <c r="DR13" s="6">
        <v>5.27</v>
      </c>
      <c r="DS13" s="30">
        <f t="shared" si="47"/>
        <v>-40.317100792751987</v>
      </c>
      <c r="DT13" s="7">
        <v>436.16</v>
      </c>
      <c r="DU13" s="7">
        <v>360.78</v>
      </c>
      <c r="DV13" s="30">
        <f t="shared" si="48"/>
        <v>-17.282648569332366</v>
      </c>
      <c r="DW13" s="6">
        <v>0.223</v>
      </c>
      <c r="DX13" s="6">
        <v>0.40400000000000003</v>
      </c>
      <c r="DY13" s="30">
        <f t="shared" si="49"/>
        <v>81.165919282511226</v>
      </c>
      <c r="DZ13" s="6">
        <v>1033567.86</v>
      </c>
      <c r="EA13" s="6">
        <v>814973.66</v>
      </c>
      <c r="EB13" s="30">
        <f t="shared" si="50"/>
        <v>-21.149477306695658</v>
      </c>
      <c r="EC13" s="6">
        <v>0.89</v>
      </c>
      <c r="ED13" s="6">
        <v>2.4300000000000002</v>
      </c>
      <c r="EE13" s="30">
        <f t="shared" si="51"/>
        <v>173.03370786516854</v>
      </c>
      <c r="EF13" s="6">
        <f t="shared" si="16"/>
        <v>218.46885245901643</v>
      </c>
      <c r="EG13" s="6">
        <f t="shared" si="17"/>
        <v>171.14347826086956</v>
      </c>
      <c r="EH13" s="6">
        <v>54.25</v>
      </c>
      <c r="EI13" s="6">
        <v>42.16</v>
      </c>
      <c r="EJ13" s="30">
        <f t="shared" si="52"/>
        <v>-22.285714285714292</v>
      </c>
      <c r="EK13" s="6">
        <v>21.82</v>
      </c>
      <c r="EL13" s="6">
        <v>28.01</v>
      </c>
      <c r="EM13" s="30">
        <f t="shared" si="53"/>
        <v>28.368469294225484</v>
      </c>
    </row>
    <row r="14" spans="1:143">
      <c r="A14" s="5">
        <v>58</v>
      </c>
      <c r="B14" s="6">
        <v>1</v>
      </c>
      <c r="C14" s="6">
        <v>1</v>
      </c>
      <c r="D14" s="6">
        <v>55</v>
      </c>
      <c r="E14" s="6">
        <v>1</v>
      </c>
      <c r="F14" s="6" t="s">
        <v>169</v>
      </c>
      <c r="G14" s="6">
        <v>2</v>
      </c>
      <c r="H14" s="6">
        <v>1</v>
      </c>
      <c r="I14" s="6">
        <v>83.6</v>
      </c>
      <c r="J14" s="6">
        <v>79.900000000000006</v>
      </c>
      <c r="K14" s="30">
        <f t="shared" si="18"/>
        <v>-4.4258373205741499</v>
      </c>
      <c r="L14" s="6">
        <v>1.62</v>
      </c>
      <c r="M14" s="6">
        <v>1.62</v>
      </c>
      <c r="N14" s="6">
        <v>31.8</v>
      </c>
      <c r="O14" s="6">
        <v>30.45</v>
      </c>
      <c r="P14" s="30">
        <f t="shared" si="19"/>
        <v>-4.2452830188679291</v>
      </c>
      <c r="Q14" s="6">
        <v>96</v>
      </c>
      <c r="R14" s="6">
        <v>93</v>
      </c>
      <c r="S14" s="30">
        <f t="shared" si="20"/>
        <v>-3.125</v>
      </c>
      <c r="T14" s="6">
        <v>110</v>
      </c>
      <c r="U14" s="6">
        <v>109</v>
      </c>
      <c r="V14" s="30">
        <f t="shared" si="21"/>
        <v>-0.90909090909090906</v>
      </c>
      <c r="W14" s="6">
        <v>116</v>
      </c>
      <c r="X14" s="6">
        <v>111</v>
      </c>
      <c r="Y14" s="30">
        <f t="shared" si="22"/>
        <v>-4.3103448275862073</v>
      </c>
      <c r="Z14" s="6">
        <v>125</v>
      </c>
      <c r="AA14" s="6">
        <v>115</v>
      </c>
      <c r="AB14" s="30">
        <f t="shared" si="23"/>
        <v>-8</v>
      </c>
      <c r="AC14" s="6">
        <v>80</v>
      </c>
      <c r="AD14" s="6">
        <v>85</v>
      </c>
      <c r="AE14" s="30">
        <f t="shared" si="24"/>
        <v>6.25</v>
      </c>
      <c r="AF14" s="6">
        <v>39.799999999999997</v>
      </c>
      <c r="AG14" s="6">
        <v>36.799999999999997</v>
      </c>
      <c r="AH14" s="30">
        <f t="shared" si="25"/>
        <v>-7.5376884422110564</v>
      </c>
      <c r="AI14" s="6">
        <v>437</v>
      </c>
      <c r="AJ14" s="6">
        <v>416</v>
      </c>
      <c r="AK14" s="30">
        <f t="shared" si="26"/>
        <v>-4.805491990846682</v>
      </c>
      <c r="AL14" s="6">
        <v>42</v>
      </c>
      <c r="AM14" s="6">
        <v>35</v>
      </c>
      <c r="AN14" s="7">
        <v>150</v>
      </c>
      <c r="AO14" s="8">
        <v>134</v>
      </c>
      <c r="AP14" s="30">
        <f t="shared" si="27"/>
        <v>-10.666666666666668</v>
      </c>
      <c r="AQ14" s="7">
        <v>28</v>
      </c>
      <c r="AR14" s="8">
        <v>35</v>
      </c>
      <c r="AS14" s="30">
        <f t="shared" si="28"/>
        <v>25</v>
      </c>
      <c r="AT14" s="7">
        <v>0.81</v>
      </c>
      <c r="AU14" s="11">
        <v>0.8</v>
      </c>
      <c r="AV14" s="30">
        <f t="shared" si="29"/>
        <v>-1.2345679012345689</v>
      </c>
      <c r="AW14" s="7">
        <v>0.52</v>
      </c>
      <c r="AX14" s="11">
        <v>0.53</v>
      </c>
      <c r="AY14" s="30">
        <f t="shared" si="30"/>
        <v>1.9230769230769247</v>
      </c>
      <c r="AZ14" s="7">
        <v>0.12</v>
      </c>
      <c r="BA14" s="11">
        <v>0.13</v>
      </c>
      <c r="BB14" s="30">
        <f t="shared" si="31"/>
        <v>8.333333333333341</v>
      </c>
      <c r="BC14" s="7">
        <f t="shared" si="54"/>
        <v>0.4</v>
      </c>
      <c r="BD14" s="7">
        <f t="shared" si="32"/>
        <v>0.4</v>
      </c>
      <c r="BE14" s="30">
        <f t="shared" si="33"/>
        <v>0</v>
      </c>
      <c r="BF14" s="7">
        <v>30</v>
      </c>
      <c r="BG14" s="8">
        <v>28</v>
      </c>
      <c r="BH14" s="7">
        <v>19</v>
      </c>
      <c r="BI14" s="8">
        <v>20</v>
      </c>
      <c r="BJ14" s="7">
        <v>38</v>
      </c>
      <c r="BK14" s="8">
        <v>30</v>
      </c>
      <c r="BL14" s="7">
        <v>6.1</v>
      </c>
      <c r="BM14" s="9">
        <v>5.7</v>
      </c>
      <c r="BN14" s="30">
        <f t="shared" si="34"/>
        <v>-6.55737704918032</v>
      </c>
      <c r="BO14" s="7">
        <v>7.37</v>
      </c>
      <c r="BP14" s="11">
        <v>7.22</v>
      </c>
      <c r="BQ14" s="30">
        <f t="shared" si="35"/>
        <v>-2.0352781546811447</v>
      </c>
      <c r="BR14" s="7">
        <v>4.08</v>
      </c>
      <c r="BS14" s="11">
        <v>4.05</v>
      </c>
      <c r="BT14" s="30">
        <f t="shared" si="36"/>
        <v>-0.73529411764706487</v>
      </c>
      <c r="BU14" s="7">
        <f t="shared" si="0"/>
        <v>3.29</v>
      </c>
      <c r="BV14" s="7">
        <f t="shared" si="1"/>
        <v>3.17</v>
      </c>
      <c r="BW14" s="30">
        <f t="shared" si="37"/>
        <v>-3.6474164133738634</v>
      </c>
      <c r="BX14" s="7">
        <v>139</v>
      </c>
      <c r="BY14" s="8">
        <v>134</v>
      </c>
      <c r="BZ14" s="30">
        <f t="shared" si="38"/>
        <v>-3.5971223021582732</v>
      </c>
      <c r="CA14" s="7">
        <v>36</v>
      </c>
      <c r="CB14" s="8">
        <v>38</v>
      </c>
      <c r="CC14" s="30">
        <f t="shared" si="39"/>
        <v>5.5555555555555554</v>
      </c>
      <c r="CD14" s="7">
        <f t="shared" si="2"/>
        <v>81.599999999999994</v>
      </c>
      <c r="CE14" s="7">
        <f t="shared" si="3"/>
        <v>71.400000000000006</v>
      </c>
      <c r="CF14" s="30">
        <f t="shared" si="40"/>
        <v>-12.499999999999988</v>
      </c>
      <c r="CG14" s="7">
        <v>107</v>
      </c>
      <c r="CH14" s="8">
        <v>123</v>
      </c>
      <c r="CI14" s="30">
        <f t="shared" si="41"/>
        <v>14.953271028037381</v>
      </c>
      <c r="CJ14" s="7">
        <v>9.3000000000000007</v>
      </c>
      <c r="CK14" s="9">
        <v>8.1999999999999993</v>
      </c>
      <c r="CL14" s="30">
        <f t="shared" si="42"/>
        <v>-11.827956989247326</v>
      </c>
      <c r="CM14" s="7">
        <v>21.4</v>
      </c>
      <c r="CN14" s="10" t="s">
        <v>170</v>
      </c>
      <c r="CO14" s="30" t="e">
        <f t="shared" si="43"/>
        <v>#VALUE!</v>
      </c>
      <c r="CP14" s="7">
        <v>45.8</v>
      </c>
      <c r="CQ14" s="10" t="s">
        <v>171</v>
      </c>
      <c r="CR14" s="7">
        <v>52.8</v>
      </c>
      <c r="CS14" s="8" t="s">
        <v>172</v>
      </c>
      <c r="CT14" s="7">
        <f t="shared" si="4"/>
        <v>7.9850746268656714</v>
      </c>
      <c r="CU14" s="7" t="e">
        <f t="shared" si="5"/>
        <v>#VALUE!</v>
      </c>
      <c r="CV14" s="30" t="e">
        <f t="shared" si="44"/>
        <v>#VALUE!</v>
      </c>
      <c r="CW14" s="6">
        <f t="shared" si="6"/>
        <v>1.2990654205607477</v>
      </c>
      <c r="CX14" s="6">
        <f t="shared" si="7"/>
        <v>1.089430894308943</v>
      </c>
      <c r="CY14" s="6">
        <f t="shared" si="8"/>
        <v>0.76261682242990647</v>
      </c>
      <c r="CZ14" s="6">
        <f t="shared" si="9"/>
        <v>0.58048780487804885</v>
      </c>
      <c r="DA14" s="6">
        <f t="shared" si="10"/>
        <v>3.8611111111111112</v>
      </c>
      <c r="DB14" s="6">
        <f t="shared" si="11"/>
        <v>3.5263157894736841</v>
      </c>
      <c r="DC14" s="6">
        <f t="shared" si="12"/>
        <v>2.2666666666666666</v>
      </c>
      <c r="DD14" s="6">
        <f t="shared" si="13"/>
        <v>1.8789473684210527</v>
      </c>
      <c r="DE14" s="6">
        <f t="shared" si="14"/>
        <v>103</v>
      </c>
      <c r="DF14" s="6">
        <f t="shared" si="15"/>
        <v>96</v>
      </c>
      <c r="DG14" s="6">
        <v>26.9</v>
      </c>
      <c r="DH14" s="6">
        <v>26.7</v>
      </c>
      <c r="DI14" s="6">
        <v>257.39999999999998</v>
      </c>
      <c r="DJ14" s="6">
        <v>225.42</v>
      </c>
      <c r="DK14" s="6">
        <v>116.24</v>
      </c>
      <c r="DL14" s="6">
        <v>54.77</v>
      </c>
      <c r="DM14" s="30">
        <f t="shared" si="45"/>
        <v>-52.881968341362693</v>
      </c>
      <c r="DN14" s="6">
        <v>1151.01</v>
      </c>
      <c r="DO14" s="6">
        <v>1243.42</v>
      </c>
      <c r="DP14" s="30">
        <f t="shared" si="46"/>
        <v>8.0286009678456374</v>
      </c>
      <c r="DQ14" s="6">
        <v>5.07</v>
      </c>
      <c r="DR14" s="6">
        <v>3.17</v>
      </c>
      <c r="DS14" s="30">
        <f t="shared" si="47"/>
        <v>-37.475345167652861</v>
      </c>
      <c r="DT14" s="7">
        <v>348.26</v>
      </c>
      <c r="DU14" s="7">
        <v>310.18</v>
      </c>
      <c r="DV14" s="30">
        <f t="shared" si="48"/>
        <v>-10.934359386665131</v>
      </c>
      <c r="DW14" s="6">
        <v>0.13400000000000001</v>
      </c>
      <c r="DX14" s="6">
        <v>0.40100000000000002</v>
      </c>
      <c r="DY14" s="30">
        <f t="shared" si="49"/>
        <v>199.25373134328359</v>
      </c>
      <c r="DZ14" s="6">
        <v>573272.62</v>
      </c>
      <c r="EA14" s="6">
        <v>2036654.8</v>
      </c>
      <c r="EB14" s="30">
        <f t="shared" si="50"/>
        <v>255.26810961249123</v>
      </c>
      <c r="EC14" s="6">
        <v>2.4300000000000002</v>
      </c>
      <c r="ED14" s="6">
        <v>1.58</v>
      </c>
      <c r="EE14" s="30">
        <f t="shared" si="51"/>
        <v>-34.979423868312757</v>
      </c>
      <c r="EF14" s="6">
        <f t="shared" si="16"/>
        <v>188.69016393442624</v>
      </c>
      <c r="EG14" s="6">
        <f t="shared" si="17"/>
        <v>218.14385964912282</v>
      </c>
      <c r="EH14" s="6">
        <v>52.75</v>
      </c>
      <c r="EI14" s="6">
        <v>34.450000000000003</v>
      </c>
      <c r="EJ14" s="30">
        <f t="shared" si="52"/>
        <v>-34.691943127962084</v>
      </c>
      <c r="EK14" s="6">
        <v>41.59</v>
      </c>
      <c r="EL14" s="6">
        <v>61.56</v>
      </c>
      <c r="EM14" s="30">
        <f t="shared" si="53"/>
        <v>48.016350084154844</v>
      </c>
    </row>
    <row r="15" spans="1:143">
      <c r="A15" s="5">
        <v>59</v>
      </c>
      <c r="B15" s="6">
        <v>1</v>
      </c>
      <c r="C15" s="6">
        <v>1</v>
      </c>
      <c r="D15" s="6">
        <v>56</v>
      </c>
      <c r="E15" s="6">
        <v>1</v>
      </c>
      <c r="F15" s="6" t="s">
        <v>173</v>
      </c>
      <c r="G15" s="6">
        <v>2</v>
      </c>
      <c r="H15" s="6">
        <v>1</v>
      </c>
      <c r="I15" s="6">
        <v>76.400000000000006</v>
      </c>
      <c r="J15" s="6">
        <v>74.599999999999994</v>
      </c>
      <c r="K15" s="30">
        <f t="shared" si="18"/>
        <v>-2.3560209424083918</v>
      </c>
      <c r="L15" s="6">
        <v>1.59</v>
      </c>
      <c r="M15" s="6">
        <v>1.59</v>
      </c>
      <c r="N15" s="6">
        <v>30.2</v>
      </c>
      <c r="O15" s="6">
        <v>29.5</v>
      </c>
      <c r="P15" s="30">
        <f t="shared" si="19"/>
        <v>-2.3178807947019844</v>
      </c>
      <c r="Q15" s="6">
        <v>96</v>
      </c>
      <c r="R15" s="6">
        <v>93</v>
      </c>
      <c r="S15" s="30">
        <f t="shared" si="20"/>
        <v>-3.125</v>
      </c>
      <c r="T15" s="6">
        <v>95.5</v>
      </c>
      <c r="U15" s="6">
        <v>98</v>
      </c>
      <c r="V15" s="30">
        <f t="shared" si="21"/>
        <v>2.6178010471204187</v>
      </c>
      <c r="W15" s="6">
        <v>103</v>
      </c>
      <c r="X15" s="6">
        <v>101</v>
      </c>
      <c r="Y15" s="30">
        <f t="shared" si="22"/>
        <v>-1.9417475728155338</v>
      </c>
      <c r="Z15" s="6">
        <v>135</v>
      </c>
      <c r="AA15" s="6">
        <v>115</v>
      </c>
      <c r="AB15" s="30">
        <f t="shared" si="23"/>
        <v>-14.814814814814813</v>
      </c>
      <c r="AC15" s="6">
        <v>90</v>
      </c>
      <c r="AD15" s="6">
        <v>75</v>
      </c>
      <c r="AE15" s="30">
        <f t="shared" si="24"/>
        <v>-16.666666666666664</v>
      </c>
      <c r="AF15" s="6">
        <v>32.9</v>
      </c>
      <c r="AG15" s="6">
        <v>35.799999999999997</v>
      </c>
      <c r="AH15" s="30">
        <f t="shared" si="25"/>
        <v>8.8145896656534912</v>
      </c>
      <c r="AI15" s="6">
        <v>356</v>
      </c>
      <c r="AJ15" s="6">
        <v>420</v>
      </c>
      <c r="AK15" s="30">
        <f t="shared" si="26"/>
        <v>17.977528089887642</v>
      </c>
      <c r="AL15" s="6">
        <v>40</v>
      </c>
      <c r="AM15" s="6">
        <v>46</v>
      </c>
      <c r="AN15" s="7">
        <v>114</v>
      </c>
      <c r="AO15" s="8">
        <v>101</v>
      </c>
      <c r="AP15" s="30">
        <f t="shared" si="27"/>
        <v>-11.403508771929824</v>
      </c>
      <c r="AQ15" s="7">
        <v>28</v>
      </c>
      <c r="AR15" s="8">
        <v>39</v>
      </c>
      <c r="AS15" s="30">
        <f t="shared" si="28"/>
        <v>39.285714285714285</v>
      </c>
      <c r="AT15" s="7">
        <v>0.93</v>
      </c>
      <c r="AU15" s="11">
        <v>0.96</v>
      </c>
      <c r="AV15" s="30">
        <f t="shared" si="29"/>
        <v>3.2258064516128941</v>
      </c>
      <c r="AW15" s="7">
        <v>0.74</v>
      </c>
      <c r="AX15" s="11">
        <v>0.9</v>
      </c>
      <c r="AY15" s="30">
        <f t="shared" si="30"/>
        <v>21.621621621621625</v>
      </c>
      <c r="AZ15" s="7">
        <v>0.15</v>
      </c>
      <c r="BA15" s="11">
        <v>0.19</v>
      </c>
      <c r="BB15" s="30">
        <f t="shared" si="31"/>
        <v>26.666666666666671</v>
      </c>
      <c r="BC15" s="7">
        <f t="shared" si="54"/>
        <v>0.59</v>
      </c>
      <c r="BD15" s="7">
        <f t="shared" si="32"/>
        <v>0.71</v>
      </c>
      <c r="BE15" s="30">
        <f t="shared" si="33"/>
        <v>20.33898305084746</v>
      </c>
      <c r="BF15" s="7">
        <v>32</v>
      </c>
      <c r="BG15" s="8">
        <v>43</v>
      </c>
      <c r="BH15" s="7">
        <v>36</v>
      </c>
      <c r="BI15" s="8">
        <v>29</v>
      </c>
      <c r="BJ15" s="7">
        <v>56</v>
      </c>
      <c r="BK15" s="8">
        <v>50</v>
      </c>
      <c r="BL15" s="7">
        <v>4.5999999999999996</v>
      </c>
      <c r="BM15" s="9">
        <v>5</v>
      </c>
      <c r="BN15" s="30">
        <f t="shared" si="34"/>
        <v>8.6956521739130519</v>
      </c>
      <c r="BO15" s="7">
        <v>7.79</v>
      </c>
      <c r="BP15" s="11">
        <v>7.23</v>
      </c>
      <c r="BQ15" s="30">
        <f t="shared" si="35"/>
        <v>-7.188703465982023</v>
      </c>
      <c r="BR15" s="7">
        <v>3.94</v>
      </c>
      <c r="BS15" s="11">
        <v>3.84</v>
      </c>
      <c r="BT15" s="30">
        <f t="shared" si="36"/>
        <v>-2.53807106598985</v>
      </c>
      <c r="BU15" s="7">
        <f t="shared" si="0"/>
        <v>3.85</v>
      </c>
      <c r="BV15" s="7">
        <f t="shared" si="1"/>
        <v>3.3900000000000006</v>
      </c>
      <c r="BW15" s="30">
        <f t="shared" si="37"/>
        <v>-11.948051948051935</v>
      </c>
      <c r="BX15" s="7">
        <v>169</v>
      </c>
      <c r="BY15" s="8">
        <v>190</v>
      </c>
      <c r="BZ15" s="30">
        <f t="shared" si="38"/>
        <v>12.42603550295858</v>
      </c>
      <c r="CA15" s="7">
        <v>50</v>
      </c>
      <c r="CB15" s="8">
        <v>52</v>
      </c>
      <c r="CC15" s="30">
        <f t="shared" si="39"/>
        <v>4</v>
      </c>
      <c r="CD15" s="7">
        <f t="shared" si="2"/>
        <v>97</v>
      </c>
      <c r="CE15" s="7">
        <f t="shared" si="3"/>
        <v>121.6</v>
      </c>
      <c r="CF15" s="30">
        <f t="shared" si="40"/>
        <v>25.360824742268033</v>
      </c>
      <c r="CG15" s="7">
        <v>110</v>
      </c>
      <c r="CH15" s="8">
        <v>82</v>
      </c>
      <c r="CI15" s="30">
        <f t="shared" si="41"/>
        <v>-25.454545454545453</v>
      </c>
      <c r="CJ15" s="7">
        <v>5.9</v>
      </c>
      <c r="CK15" s="9">
        <v>8</v>
      </c>
      <c r="CL15" s="30">
        <f t="shared" si="42"/>
        <v>35.593220338983045</v>
      </c>
      <c r="CM15" s="7">
        <v>16.8</v>
      </c>
      <c r="CN15" s="10" t="s">
        <v>174</v>
      </c>
      <c r="CO15" s="30" t="e">
        <f t="shared" si="43"/>
        <v>#VALUE!</v>
      </c>
      <c r="CP15" s="7">
        <v>44.6</v>
      </c>
      <c r="CQ15" s="10" t="s">
        <v>175</v>
      </c>
      <c r="CR15" s="7">
        <v>65.099999999999994</v>
      </c>
      <c r="CS15" s="8" t="s">
        <v>176</v>
      </c>
      <c r="CT15" s="7">
        <f t="shared" si="4"/>
        <v>4.7641791044776118</v>
      </c>
      <c r="CU15" s="7" t="e">
        <f t="shared" si="5"/>
        <v>#VALUE!</v>
      </c>
      <c r="CV15" s="30" t="e">
        <f t="shared" si="44"/>
        <v>#VALUE!</v>
      </c>
      <c r="CW15" s="6">
        <f t="shared" si="6"/>
        <v>1.5363636363636364</v>
      </c>
      <c r="CX15" s="6">
        <f t="shared" si="7"/>
        <v>2.3170731707317072</v>
      </c>
      <c r="CY15" s="6">
        <f t="shared" si="8"/>
        <v>0.88181818181818183</v>
      </c>
      <c r="CZ15" s="6">
        <f t="shared" si="9"/>
        <v>1.4829268292682927</v>
      </c>
      <c r="DA15" s="6">
        <f t="shared" si="10"/>
        <v>3.38</v>
      </c>
      <c r="DB15" s="6">
        <f t="shared" si="11"/>
        <v>3.6538461538461537</v>
      </c>
      <c r="DC15" s="6">
        <f t="shared" si="12"/>
        <v>1.94</v>
      </c>
      <c r="DD15" s="6">
        <f t="shared" si="13"/>
        <v>2.3384615384615381</v>
      </c>
      <c r="DE15" s="6">
        <f t="shared" si="14"/>
        <v>119</v>
      </c>
      <c r="DF15" s="6">
        <f t="shared" si="15"/>
        <v>138</v>
      </c>
      <c r="DG15" s="6">
        <v>27.8</v>
      </c>
      <c r="DH15" s="6">
        <v>30.2</v>
      </c>
      <c r="DI15" s="6">
        <v>236.8</v>
      </c>
      <c r="DJ15" s="6">
        <v>379.01</v>
      </c>
      <c r="DK15" s="6">
        <v>88.93</v>
      </c>
      <c r="DL15" s="6">
        <v>56.45</v>
      </c>
      <c r="DM15" s="30">
        <f t="shared" si="45"/>
        <v>-36.523108062521089</v>
      </c>
      <c r="DN15" s="6">
        <v>1147.3599999999999</v>
      </c>
      <c r="DO15" s="6">
        <v>1071.03</v>
      </c>
      <c r="DP15" s="30">
        <f t="shared" si="46"/>
        <v>-6.652663505787193</v>
      </c>
      <c r="DQ15" s="6">
        <v>15.93</v>
      </c>
      <c r="DR15" s="6">
        <v>4.03</v>
      </c>
      <c r="DS15" s="30">
        <f t="shared" si="47"/>
        <v>-74.701820464532318</v>
      </c>
      <c r="DT15" s="7">
        <v>526.24</v>
      </c>
      <c r="DU15" s="7">
        <v>556.75</v>
      </c>
      <c r="DV15" s="30">
        <f t="shared" si="48"/>
        <v>5.7977348738218284</v>
      </c>
      <c r="DW15" s="6">
        <v>0.217</v>
      </c>
      <c r="DX15" s="6">
        <v>0.53500000000000003</v>
      </c>
      <c r="DY15" s="30">
        <f t="shared" si="49"/>
        <v>146.54377880184336</v>
      </c>
      <c r="DZ15" s="6">
        <v>1127074.55</v>
      </c>
      <c r="EA15" s="6">
        <v>1377937.58</v>
      </c>
      <c r="EB15" s="30">
        <f t="shared" si="50"/>
        <v>22.257891458910152</v>
      </c>
      <c r="EC15" s="6">
        <v>2.77</v>
      </c>
      <c r="ED15" s="6">
        <v>1.06</v>
      </c>
      <c r="EE15" s="30">
        <f t="shared" si="51"/>
        <v>-61.73285198555957</v>
      </c>
      <c r="EF15" s="6">
        <f t="shared" si="16"/>
        <v>249.42608695652174</v>
      </c>
      <c r="EG15" s="6">
        <f t="shared" si="17"/>
        <v>214.20599999999999</v>
      </c>
      <c r="EH15" s="6">
        <v>38.96</v>
      </c>
      <c r="EI15" s="6">
        <v>44.56</v>
      </c>
      <c r="EJ15" s="30">
        <f t="shared" si="52"/>
        <v>14.373716632443534</v>
      </c>
      <c r="EK15" s="6">
        <v>63.86</v>
      </c>
      <c r="EL15" s="6">
        <v>63.86</v>
      </c>
      <c r="EM15" s="30">
        <f t="shared" si="53"/>
        <v>0</v>
      </c>
    </row>
    <row r="16" spans="1:143">
      <c r="A16" s="5">
        <v>61</v>
      </c>
      <c r="B16" s="6">
        <v>1</v>
      </c>
      <c r="C16" s="6">
        <v>1</v>
      </c>
      <c r="D16" s="6">
        <v>47</v>
      </c>
      <c r="E16" s="6">
        <v>2</v>
      </c>
      <c r="F16" s="6" t="s">
        <v>177</v>
      </c>
      <c r="G16" s="6">
        <v>2</v>
      </c>
      <c r="H16" s="6">
        <v>1</v>
      </c>
      <c r="I16" s="6">
        <v>130.19999999999999</v>
      </c>
      <c r="J16" s="6">
        <v>133.30000000000001</v>
      </c>
      <c r="K16" s="30">
        <f t="shared" si="18"/>
        <v>2.3809523809523987</v>
      </c>
      <c r="L16" s="6">
        <v>1.85</v>
      </c>
      <c r="M16" s="6">
        <v>1.85</v>
      </c>
      <c r="N16" s="6">
        <v>38</v>
      </c>
      <c r="O16" s="6">
        <v>38.950000000000003</v>
      </c>
      <c r="P16" s="30">
        <f t="shared" si="19"/>
        <v>2.5000000000000075</v>
      </c>
      <c r="Q16" s="6">
        <v>110</v>
      </c>
      <c r="R16" s="6">
        <v>115</v>
      </c>
      <c r="S16" s="30">
        <f t="shared" si="20"/>
        <v>4.5454545454545459</v>
      </c>
      <c r="T16" s="6">
        <v>107</v>
      </c>
      <c r="U16" s="6">
        <v>123</v>
      </c>
      <c r="V16" s="30">
        <f t="shared" si="21"/>
        <v>14.953271028037381</v>
      </c>
      <c r="W16" s="6">
        <v>123</v>
      </c>
      <c r="X16" s="6">
        <v>126</v>
      </c>
      <c r="Y16" s="30">
        <f t="shared" si="22"/>
        <v>2.4390243902439024</v>
      </c>
      <c r="Z16" s="6">
        <v>130</v>
      </c>
      <c r="AA16" s="6">
        <v>130</v>
      </c>
      <c r="AB16" s="30">
        <f t="shared" si="23"/>
        <v>0</v>
      </c>
      <c r="AC16" s="6">
        <v>85</v>
      </c>
      <c r="AD16" s="6">
        <v>95</v>
      </c>
      <c r="AE16" s="30">
        <f t="shared" si="24"/>
        <v>11.76470588235294</v>
      </c>
      <c r="AF16" s="6">
        <v>38.4</v>
      </c>
      <c r="AG16" s="6">
        <v>37.5</v>
      </c>
      <c r="AH16" s="30">
        <f t="shared" si="25"/>
        <v>-2.3437499999999964</v>
      </c>
      <c r="AI16" s="6">
        <v>397</v>
      </c>
      <c r="AJ16" s="6">
        <v>364</v>
      </c>
      <c r="AK16" s="30">
        <f t="shared" si="26"/>
        <v>-8.3123425692695214</v>
      </c>
      <c r="AL16" s="6">
        <v>46</v>
      </c>
      <c r="AM16" s="6">
        <v>42</v>
      </c>
      <c r="AN16" s="7">
        <v>108</v>
      </c>
      <c r="AO16" s="8">
        <v>112</v>
      </c>
      <c r="AP16" s="30">
        <f t="shared" si="27"/>
        <v>3.7037037037037033</v>
      </c>
      <c r="AQ16" s="7">
        <v>35</v>
      </c>
      <c r="AR16" s="8">
        <v>51</v>
      </c>
      <c r="AS16" s="30">
        <f t="shared" si="28"/>
        <v>45.714285714285715</v>
      </c>
      <c r="AT16" s="7">
        <v>0.99</v>
      </c>
      <c r="AU16" s="11">
        <v>0.9</v>
      </c>
      <c r="AV16" s="30">
        <f t="shared" si="29"/>
        <v>-9.0909090909090882</v>
      </c>
      <c r="AW16" s="7">
        <v>0.81</v>
      </c>
      <c r="AX16" s="11">
        <v>0.73</v>
      </c>
      <c r="AY16" s="30">
        <f t="shared" si="30"/>
        <v>-9.8765432098765515</v>
      </c>
      <c r="AZ16" s="7">
        <v>0.16</v>
      </c>
      <c r="BA16" s="11">
        <v>0.13</v>
      </c>
      <c r="BB16" s="30">
        <f t="shared" si="31"/>
        <v>-18.75</v>
      </c>
      <c r="BC16" s="7">
        <f t="shared" si="54"/>
        <v>0.65</v>
      </c>
      <c r="BD16" s="7">
        <f t="shared" si="32"/>
        <v>0.6</v>
      </c>
      <c r="BE16" s="30">
        <f t="shared" si="33"/>
        <v>-7.6923076923076987</v>
      </c>
      <c r="BF16" s="7">
        <v>37</v>
      </c>
      <c r="BG16" s="8">
        <v>42</v>
      </c>
      <c r="BH16" s="7">
        <v>31</v>
      </c>
      <c r="BI16" s="8">
        <v>29</v>
      </c>
      <c r="BJ16" s="7">
        <v>50</v>
      </c>
      <c r="BK16" s="8">
        <v>49</v>
      </c>
      <c r="BL16" s="7">
        <v>5.8</v>
      </c>
      <c r="BM16" s="9">
        <v>6.9</v>
      </c>
      <c r="BN16" s="30">
        <f t="shared" si="34"/>
        <v>18.96551724137932</v>
      </c>
      <c r="BO16" s="7">
        <v>7.42</v>
      </c>
      <c r="BP16" s="11">
        <v>7.25</v>
      </c>
      <c r="BQ16" s="30">
        <f t="shared" si="35"/>
        <v>-2.2911051212937994</v>
      </c>
      <c r="BR16" s="7">
        <v>4.2699999999999996</v>
      </c>
      <c r="BS16" s="11">
        <v>4.2</v>
      </c>
      <c r="BT16" s="30">
        <f t="shared" si="36"/>
        <v>-1.6393442622950678</v>
      </c>
      <c r="BU16" s="7">
        <f t="shared" si="0"/>
        <v>3.1500000000000004</v>
      </c>
      <c r="BV16" s="7">
        <f t="shared" si="1"/>
        <v>3.05</v>
      </c>
      <c r="BW16" s="30">
        <f t="shared" si="37"/>
        <v>-3.1746031746031909</v>
      </c>
      <c r="BX16" s="7">
        <v>161</v>
      </c>
      <c r="BY16" s="8">
        <v>177</v>
      </c>
      <c r="BZ16" s="30">
        <f t="shared" si="38"/>
        <v>9.9378881987577632</v>
      </c>
      <c r="CA16" s="7">
        <v>31</v>
      </c>
      <c r="CB16" s="8">
        <v>34</v>
      </c>
      <c r="CC16" s="30">
        <f t="shared" si="39"/>
        <v>9.67741935483871</v>
      </c>
      <c r="CD16" s="7">
        <f t="shared" si="2"/>
        <v>109.6</v>
      </c>
      <c r="CE16" s="7">
        <f t="shared" si="3"/>
        <v>117.8</v>
      </c>
      <c r="CF16" s="30">
        <f t="shared" si="40"/>
        <v>7.4817518248175219</v>
      </c>
      <c r="CG16" s="7">
        <v>102</v>
      </c>
      <c r="CH16" s="8">
        <v>126</v>
      </c>
      <c r="CI16" s="30">
        <f t="shared" si="41"/>
        <v>23.52941176470588</v>
      </c>
      <c r="CJ16" s="7">
        <v>3.2</v>
      </c>
      <c r="CK16" s="9">
        <v>2.9</v>
      </c>
      <c r="CL16" s="30">
        <f t="shared" si="42"/>
        <v>-9.3750000000000089</v>
      </c>
      <c r="CM16" s="7">
        <v>18.5</v>
      </c>
      <c r="CN16" s="10">
        <v>13</v>
      </c>
      <c r="CO16" s="30">
        <f t="shared" si="43"/>
        <v>-29.72972972972973</v>
      </c>
      <c r="CP16" s="7">
        <v>21.7</v>
      </c>
      <c r="CQ16" s="10" t="s">
        <v>178</v>
      </c>
      <c r="CR16" s="7">
        <v>113.2</v>
      </c>
      <c r="CS16" s="7">
        <v>104</v>
      </c>
      <c r="CT16" s="7">
        <f t="shared" si="4"/>
        <v>4.9701492537313436</v>
      </c>
      <c r="CU16" s="7">
        <f t="shared" si="5"/>
        <v>3.6218905472636815</v>
      </c>
      <c r="CV16" s="30">
        <f t="shared" si="44"/>
        <v>-27.127127127127132</v>
      </c>
      <c r="CW16" s="6">
        <f t="shared" si="6"/>
        <v>1.5784313725490196</v>
      </c>
      <c r="CX16" s="6">
        <f t="shared" si="7"/>
        <v>1.4047619047619047</v>
      </c>
      <c r="CY16" s="6">
        <f t="shared" si="8"/>
        <v>1.0745098039215686</v>
      </c>
      <c r="CZ16" s="6">
        <f t="shared" si="9"/>
        <v>0.93492063492063493</v>
      </c>
      <c r="DA16" s="6">
        <f t="shared" si="10"/>
        <v>5.193548387096774</v>
      </c>
      <c r="DB16" s="6">
        <f t="shared" si="11"/>
        <v>5.2058823529411766</v>
      </c>
      <c r="DC16" s="6">
        <f t="shared" si="12"/>
        <v>3.5354838709677416</v>
      </c>
      <c r="DD16" s="6">
        <f t="shared" si="13"/>
        <v>3.4647058823529413</v>
      </c>
      <c r="DE16" s="6">
        <f t="shared" si="14"/>
        <v>130</v>
      </c>
      <c r="DF16" s="6">
        <f t="shared" si="15"/>
        <v>143</v>
      </c>
      <c r="DG16" s="6">
        <v>38.1</v>
      </c>
      <c r="DH16" s="6">
        <v>35.799999999999997</v>
      </c>
      <c r="DI16" s="6">
        <v>239.09</v>
      </c>
      <c r="DJ16" s="6">
        <v>254.62</v>
      </c>
      <c r="DK16" s="6">
        <v>88.01</v>
      </c>
      <c r="DL16" s="6">
        <v>73.849999999999994</v>
      </c>
      <c r="DM16" s="30">
        <f t="shared" si="45"/>
        <v>-16.089080786274298</v>
      </c>
      <c r="DN16" s="6">
        <v>1098.42</v>
      </c>
      <c r="DO16" s="6">
        <v>1195.83</v>
      </c>
      <c r="DP16" s="30">
        <f t="shared" si="46"/>
        <v>8.8681924946741546</v>
      </c>
      <c r="DQ16" s="6">
        <v>6.23</v>
      </c>
      <c r="DR16" s="6">
        <v>4.49</v>
      </c>
      <c r="DS16" s="30">
        <f t="shared" si="47"/>
        <v>-27.929373996789732</v>
      </c>
      <c r="DT16" s="7">
        <v>389.95</v>
      </c>
      <c r="DU16" s="7">
        <v>425.5</v>
      </c>
      <c r="DV16" s="30">
        <f t="shared" si="48"/>
        <v>9.1165534042826035</v>
      </c>
      <c r="DW16" s="6">
        <v>0.315</v>
      </c>
      <c r="DX16" s="6">
        <v>0.6</v>
      </c>
      <c r="DY16" s="30">
        <f t="shared" si="49"/>
        <v>90.476190476190467</v>
      </c>
      <c r="DZ16" s="6">
        <v>2850440.1</v>
      </c>
      <c r="EA16" s="6">
        <v>1699437.47</v>
      </c>
      <c r="EB16" s="30">
        <f t="shared" si="50"/>
        <v>-40.379821698410716</v>
      </c>
      <c r="EC16" s="6">
        <v>3.96</v>
      </c>
      <c r="ED16" s="6">
        <v>12.41</v>
      </c>
      <c r="EE16" s="30">
        <f t="shared" si="51"/>
        <v>213.38383838383837</v>
      </c>
      <c r="EF16" s="6">
        <f t="shared" si="16"/>
        <v>189.38275862068969</v>
      </c>
      <c r="EG16" s="6">
        <f t="shared" si="17"/>
        <v>173.3086956521739</v>
      </c>
      <c r="EH16" s="6">
        <v>42.98</v>
      </c>
      <c r="EI16" s="6">
        <v>41.38</v>
      </c>
      <c r="EJ16" s="30">
        <f t="shared" si="52"/>
        <v>-3.722661703117716</v>
      </c>
      <c r="EK16" s="6">
        <v>63.52</v>
      </c>
      <c r="EL16" s="6">
        <v>28.79</v>
      </c>
      <c r="EM16" s="30">
        <f t="shared" si="53"/>
        <v>-54.67569269521411</v>
      </c>
    </row>
    <row r="17" spans="1:143">
      <c r="A17" s="5">
        <v>62</v>
      </c>
      <c r="B17" s="6">
        <v>1</v>
      </c>
      <c r="C17" s="6">
        <v>1</v>
      </c>
      <c r="D17" s="6">
        <v>50</v>
      </c>
      <c r="E17" s="6">
        <v>1</v>
      </c>
      <c r="F17" s="6" t="s">
        <v>179</v>
      </c>
      <c r="G17" s="6">
        <v>2</v>
      </c>
      <c r="H17" s="6">
        <v>1</v>
      </c>
      <c r="I17" s="6">
        <v>72</v>
      </c>
      <c r="J17" s="6">
        <v>71.3</v>
      </c>
      <c r="K17" s="30">
        <f t="shared" si="18"/>
        <v>-0.97222222222222621</v>
      </c>
      <c r="L17" s="6">
        <v>1.51</v>
      </c>
      <c r="M17" s="6">
        <v>1.51</v>
      </c>
      <c r="N17" s="6">
        <v>31.58</v>
      </c>
      <c r="O17" s="6">
        <v>31.27</v>
      </c>
      <c r="P17" s="30">
        <f t="shared" si="19"/>
        <v>-0.98163394553514483</v>
      </c>
      <c r="Q17" s="6">
        <v>92</v>
      </c>
      <c r="R17" s="6">
        <v>90</v>
      </c>
      <c r="S17" s="30">
        <f t="shared" si="20"/>
        <v>-2.1739130434782608</v>
      </c>
      <c r="T17" s="6">
        <v>104</v>
      </c>
      <c r="U17" s="6">
        <v>98</v>
      </c>
      <c r="V17" s="30">
        <f t="shared" si="21"/>
        <v>-5.7692307692307692</v>
      </c>
      <c r="W17" s="6">
        <v>106</v>
      </c>
      <c r="X17" s="6">
        <v>106</v>
      </c>
      <c r="Y17" s="30">
        <f t="shared" si="22"/>
        <v>0</v>
      </c>
      <c r="Z17" s="6">
        <v>135</v>
      </c>
      <c r="AA17" s="6">
        <v>135</v>
      </c>
      <c r="AB17" s="30">
        <f t="shared" si="23"/>
        <v>0</v>
      </c>
      <c r="AC17" s="6">
        <v>90</v>
      </c>
      <c r="AD17" s="6">
        <v>95</v>
      </c>
      <c r="AE17" s="30">
        <f t="shared" si="24"/>
        <v>5.5555555555555554</v>
      </c>
      <c r="AF17" s="6">
        <v>42.8</v>
      </c>
      <c r="AG17" s="6">
        <v>38.700000000000003</v>
      </c>
      <c r="AH17" s="30">
        <f t="shared" si="25"/>
        <v>-9.5794392523364351</v>
      </c>
      <c r="AI17" s="6">
        <v>533</v>
      </c>
      <c r="AJ17" s="6">
        <v>436</v>
      </c>
      <c r="AK17" s="30">
        <f t="shared" si="26"/>
        <v>-18.198874296435271</v>
      </c>
      <c r="AL17" s="6">
        <v>44</v>
      </c>
      <c r="AM17" s="6">
        <v>43</v>
      </c>
      <c r="AN17" s="7">
        <v>127</v>
      </c>
      <c r="AO17" s="12">
        <v>113</v>
      </c>
      <c r="AP17" s="30">
        <f t="shared" si="27"/>
        <v>-11.023622047244094</v>
      </c>
      <c r="AQ17" s="7">
        <v>33</v>
      </c>
      <c r="AR17" s="12">
        <v>25</v>
      </c>
      <c r="AS17" s="30">
        <f t="shared" si="28"/>
        <v>-24.242424242424242</v>
      </c>
      <c r="AT17" s="7">
        <v>0.84</v>
      </c>
      <c r="AU17" s="13">
        <v>0.75</v>
      </c>
      <c r="AV17" s="30">
        <f t="shared" si="29"/>
        <v>-10.714285714285712</v>
      </c>
      <c r="AW17" s="7">
        <v>0.38</v>
      </c>
      <c r="AX17" s="13">
        <v>0.23</v>
      </c>
      <c r="AY17" s="30">
        <f t="shared" si="30"/>
        <v>-39.473684210526315</v>
      </c>
      <c r="AZ17" s="7">
        <v>0.1</v>
      </c>
      <c r="BA17" s="13">
        <v>7.0000000000000007E-2</v>
      </c>
      <c r="BB17" s="30">
        <f t="shared" si="31"/>
        <v>-30</v>
      </c>
      <c r="BC17" s="7">
        <f t="shared" si="54"/>
        <v>0.28000000000000003</v>
      </c>
      <c r="BD17" s="7">
        <f t="shared" si="32"/>
        <v>0.16</v>
      </c>
      <c r="BE17" s="30">
        <f t="shared" si="33"/>
        <v>-42.857142857142861</v>
      </c>
      <c r="BF17" s="7">
        <v>78</v>
      </c>
      <c r="BG17" s="12">
        <v>36</v>
      </c>
      <c r="BH17" s="7">
        <v>42</v>
      </c>
      <c r="BI17" s="12">
        <v>27</v>
      </c>
      <c r="BJ17" s="7">
        <v>78</v>
      </c>
      <c r="BK17" s="12">
        <v>44</v>
      </c>
      <c r="BL17" s="7">
        <v>5.8</v>
      </c>
      <c r="BM17" s="14">
        <v>5.2</v>
      </c>
      <c r="BN17" s="30">
        <f t="shared" si="34"/>
        <v>-10.344827586206891</v>
      </c>
      <c r="BO17" s="7">
        <v>7.7</v>
      </c>
      <c r="BP17" s="13">
        <v>7.52</v>
      </c>
      <c r="BQ17" s="30">
        <f t="shared" si="35"/>
        <v>-2.3376623376623455</v>
      </c>
      <c r="BR17" s="7">
        <v>3.94</v>
      </c>
      <c r="BS17" s="13">
        <v>4.09</v>
      </c>
      <c r="BT17" s="30">
        <f t="shared" si="36"/>
        <v>3.807106598984769</v>
      </c>
      <c r="BU17" s="7">
        <f t="shared" si="0"/>
        <v>3.7600000000000002</v>
      </c>
      <c r="BV17" s="7">
        <f t="shared" si="1"/>
        <v>3.4299999999999997</v>
      </c>
      <c r="BW17" s="30">
        <f t="shared" si="37"/>
        <v>-8.7765957446808631</v>
      </c>
      <c r="BX17" s="7">
        <v>195</v>
      </c>
      <c r="BY17" s="12">
        <v>193</v>
      </c>
      <c r="BZ17" s="30">
        <f t="shared" si="38"/>
        <v>-1.0256410256410255</v>
      </c>
      <c r="CA17" s="7">
        <v>42</v>
      </c>
      <c r="CB17" s="12">
        <v>53</v>
      </c>
      <c r="CC17" s="30">
        <f t="shared" si="39"/>
        <v>26.190476190476193</v>
      </c>
      <c r="CD17" s="7">
        <f t="shared" si="2"/>
        <v>104</v>
      </c>
      <c r="CE17" s="7">
        <f t="shared" si="3"/>
        <v>114.8</v>
      </c>
      <c r="CF17" s="30">
        <f t="shared" si="40"/>
        <v>10.384615384615383</v>
      </c>
      <c r="CG17" s="7">
        <v>245</v>
      </c>
      <c r="CH17" s="12">
        <v>126</v>
      </c>
      <c r="CI17" s="30">
        <f t="shared" si="41"/>
        <v>-48.571428571428569</v>
      </c>
      <c r="CJ17" s="7">
        <v>6</v>
      </c>
      <c r="CK17" s="14">
        <v>4.0999999999999996</v>
      </c>
      <c r="CL17" s="30">
        <f t="shared" si="42"/>
        <v>-31.666666666666671</v>
      </c>
      <c r="CM17" s="7">
        <v>25.7</v>
      </c>
      <c r="CN17" s="10" t="s">
        <v>180</v>
      </c>
      <c r="CO17" s="30" t="e">
        <f t="shared" si="43"/>
        <v>#VALUE!</v>
      </c>
      <c r="CP17" s="7">
        <v>23</v>
      </c>
      <c r="CQ17" s="10" t="s">
        <v>181</v>
      </c>
      <c r="CR17" s="7">
        <v>41.7</v>
      </c>
      <c r="CS17" s="7">
        <v>38</v>
      </c>
      <c r="CT17" s="7">
        <f t="shared" si="4"/>
        <v>8.1191542288557219</v>
      </c>
      <c r="CU17" s="7" t="e">
        <f t="shared" si="5"/>
        <v>#VALUE!</v>
      </c>
      <c r="CV17" s="30" t="e">
        <f t="shared" si="44"/>
        <v>#VALUE!</v>
      </c>
      <c r="CW17" s="6">
        <f t="shared" si="6"/>
        <v>0.79591836734693877</v>
      </c>
      <c r="CX17" s="6">
        <f t="shared" si="7"/>
        <v>1.5317460317460319</v>
      </c>
      <c r="CY17" s="6">
        <f t="shared" si="8"/>
        <v>0.42448979591836733</v>
      </c>
      <c r="CZ17" s="6">
        <f t="shared" si="9"/>
        <v>0.91111111111111109</v>
      </c>
      <c r="DA17" s="6">
        <f t="shared" si="10"/>
        <v>4.6428571428571432</v>
      </c>
      <c r="DB17" s="6">
        <f t="shared" si="11"/>
        <v>3.641509433962264</v>
      </c>
      <c r="DC17" s="6">
        <f t="shared" si="12"/>
        <v>2.4761904761904763</v>
      </c>
      <c r="DD17" s="6">
        <f t="shared" si="13"/>
        <v>2.1660377358490566</v>
      </c>
      <c r="DE17" s="6">
        <f t="shared" si="14"/>
        <v>153</v>
      </c>
      <c r="DF17" s="6">
        <f t="shared" si="15"/>
        <v>140</v>
      </c>
      <c r="DG17" s="6">
        <v>27.1</v>
      </c>
      <c r="DH17" s="6">
        <v>24.7</v>
      </c>
      <c r="DI17" s="6">
        <v>284.85000000000002</v>
      </c>
      <c r="DJ17" s="6">
        <v>309.52</v>
      </c>
      <c r="DK17" s="6">
        <v>152.31</v>
      </c>
      <c r="DL17" s="6">
        <v>107.2</v>
      </c>
      <c r="DM17" s="30">
        <f t="shared" si="45"/>
        <v>-29.617228021797647</v>
      </c>
      <c r="DN17" s="6">
        <v>1153.03</v>
      </c>
      <c r="DO17" s="6">
        <v>949.31</v>
      </c>
      <c r="DP17" s="30">
        <f t="shared" si="46"/>
        <v>-17.668230661821465</v>
      </c>
      <c r="DQ17" s="6">
        <v>5.86</v>
      </c>
      <c r="DR17" s="6">
        <v>9.19</v>
      </c>
      <c r="DS17" s="30">
        <f t="shared" si="47"/>
        <v>56.825938566552878</v>
      </c>
      <c r="DT17" s="7">
        <v>428.27</v>
      </c>
      <c r="DU17" s="7">
        <v>396.86</v>
      </c>
      <c r="DV17" s="30">
        <f t="shared" si="48"/>
        <v>-7.3341583580451513</v>
      </c>
      <c r="DW17" s="6">
        <v>0.33</v>
      </c>
      <c r="DX17" s="6">
        <v>0.59699999999999998</v>
      </c>
      <c r="DY17" s="30">
        <f t="shared" si="49"/>
        <v>80.909090909090892</v>
      </c>
      <c r="DZ17" s="6">
        <v>1333154.3700000001</v>
      </c>
      <c r="EA17" s="6">
        <v>1387651.28</v>
      </c>
      <c r="EB17" s="30">
        <f t="shared" si="50"/>
        <v>4.0878169270074789</v>
      </c>
      <c r="EC17" s="6">
        <v>1.3</v>
      </c>
      <c r="ED17" s="6">
        <v>1.41</v>
      </c>
      <c r="EE17" s="30">
        <f t="shared" si="51"/>
        <v>8.4615384615384528</v>
      </c>
      <c r="EF17" s="6">
        <f t="shared" si="16"/>
        <v>198.79827586206898</v>
      </c>
      <c r="EG17" s="6">
        <f t="shared" si="17"/>
        <v>182.55961538461537</v>
      </c>
      <c r="EH17" s="6">
        <v>52.34</v>
      </c>
      <c r="EI17" s="6">
        <v>34.07</v>
      </c>
      <c r="EJ17" s="30">
        <f t="shared" si="52"/>
        <v>-34.906381352693927</v>
      </c>
      <c r="EK17" s="6">
        <v>35.090000000000003</v>
      </c>
      <c r="EL17" s="6">
        <v>27.94</v>
      </c>
      <c r="EM17" s="30">
        <f t="shared" si="53"/>
        <v>-20.376175548589345</v>
      </c>
    </row>
    <row r="18" spans="1:143">
      <c r="A18" s="5">
        <v>63</v>
      </c>
      <c r="B18" s="6">
        <v>1</v>
      </c>
      <c r="C18" s="6">
        <v>1</v>
      </c>
      <c r="D18" s="6">
        <v>57</v>
      </c>
      <c r="E18" s="6">
        <v>1</v>
      </c>
      <c r="F18" s="6" t="s">
        <v>182</v>
      </c>
      <c r="G18" s="6">
        <v>2</v>
      </c>
      <c r="H18" s="6">
        <v>1</v>
      </c>
      <c r="I18" s="6">
        <v>66</v>
      </c>
      <c r="J18" s="6">
        <v>66.3</v>
      </c>
      <c r="K18" s="30">
        <f t="shared" si="18"/>
        <v>0.45454545454545026</v>
      </c>
      <c r="L18" s="6">
        <v>1.48</v>
      </c>
      <c r="M18" s="6">
        <v>1.48</v>
      </c>
      <c r="N18" s="6">
        <v>30.13</v>
      </c>
      <c r="O18" s="6">
        <v>30.27</v>
      </c>
      <c r="P18" s="30">
        <f t="shared" si="19"/>
        <v>0.4646531695984088</v>
      </c>
      <c r="Q18" s="6">
        <v>92</v>
      </c>
      <c r="R18" s="6">
        <v>91</v>
      </c>
      <c r="S18" s="30">
        <f t="shared" si="20"/>
        <v>-1.0869565217391304</v>
      </c>
      <c r="T18" s="6">
        <v>95</v>
      </c>
      <c r="U18" s="6">
        <v>96</v>
      </c>
      <c r="V18" s="30">
        <f t="shared" si="21"/>
        <v>1.0526315789473684</v>
      </c>
      <c r="W18" s="6">
        <v>103</v>
      </c>
      <c r="X18" s="6">
        <v>100</v>
      </c>
      <c r="Y18" s="30">
        <f t="shared" si="22"/>
        <v>-2.912621359223301</v>
      </c>
      <c r="Z18" s="6">
        <v>150</v>
      </c>
      <c r="AA18" s="6">
        <v>155</v>
      </c>
      <c r="AB18" s="30">
        <f t="shared" si="23"/>
        <v>3.3333333333333335</v>
      </c>
      <c r="AC18" s="6">
        <v>95</v>
      </c>
      <c r="AD18" s="6">
        <v>110</v>
      </c>
      <c r="AE18" s="30">
        <f t="shared" si="24"/>
        <v>15.789473684210526</v>
      </c>
      <c r="AF18" s="6">
        <v>40.9</v>
      </c>
      <c r="AG18" s="6">
        <v>41.8</v>
      </c>
      <c r="AH18" s="30">
        <f t="shared" si="25"/>
        <v>2.2004889975550088</v>
      </c>
      <c r="AI18" s="6">
        <v>511</v>
      </c>
      <c r="AJ18" s="6">
        <v>528</v>
      </c>
      <c r="AK18" s="30">
        <f t="shared" si="26"/>
        <v>3.3268101761252442</v>
      </c>
      <c r="AL18" s="6">
        <v>43</v>
      </c>
      <c r="AM18" s="6">
        <v>46</v>
      </c>
      <c r="AN18" s="7">
        <v>113</v>
      </c>
      <c r="AO18" s="8">
        <v>111</v>
      </c>
      <c r="AP18" s="30">
        <f t="shared" si="27"/>
        <v>-1.7699115044247788</v>
      </c>
      <c r="AQ18" s="7">
        <v>27</v>
      </c>
      <c r="AR18" s="8">
        <v>32</v>
      </c>
      <c r="AS18" s="30">
        <f t="shared" si="28"/>
        <v>18.518518518518519</v>
      </c>
      <c r="AT18" s="7">
        <v>0.96</v>
      </c>
      <c r="AU18" s="11">
        <v>0.88</v>
      </c>
      <c r="AV18" s="30">
        <f t="shared" si="29"/>
        <v>-8.3333333333333304</v>
      </c>
      <c r="AW18" s="7">
        <v>0.61</v>
      </c>
      <c r="AX18" s="11">
        <v>0.53</v>
      </c>
      <c r="AY18" s="30">
        <f t="shared" si="30"/>
        <v>-13.114754098360649</v>
      </c>
      <c r="AZ18" s="7">
        <v>0.13</v>
      </c>
      <c r="BA18" s="11">
        <v>0.13</v>
      </c>
      <c r="BB18" s="30">
        <f t="shared" si="31"/>
        <v>0</v>
      </c>
      <c r="BC18" s="7">
        <f t="shared" si="54"/>
        <v>0.48</v>
      </c>
      <c r="BD18" s="7">
        <f t="shared" si="32"/>
        <v>0.4</v>
      </c>
      <c r="BE18" s="30">
        <f t="shared" si="33"/>
        <v>-16.666666666666661</v>
      </c>
      <c r="BF18" s="7">
        <v>40</v>
      </c>
      <c r="BG18" s="8">
        <v>47</v>
      </c>
      <c r="BH18" s="7">
        <v>24</v>
      </c>
      <c r="BI18" s="8">
        <v>23</v>
      </c>
      <c r="BJ18" s="7">
        <v>44</v>
      </c>
      <c r="BK18" s="8">
        <v>51</v>
      </c>
      <c r="BL18" s="7">
        <v>4.3</v>
      </c>
      <c r="BM18" s="9">
        <v>4.3</v>
      </c>
      <c r="BN18" s="30">
        <f t="shared" si="34"/>
        <v>0</v>
      </c>
      <c r="BO18" s="7">
        <v>7.5</v>
      </c>
      <c r="BP18" s="11">
        <v>7.31</v>
      </c>
      <c r="BQ18" s="30">
        <f t="shared" si="35"/>
        <v>-2.5333333333333385</v>
      </c>
      <c r="BR18" s="7">
        <v>4</v>
      </c>
      <c r="BS18" s="11">
        <v>3.92</v>
      </c>
      <c r="BT18" s="30">
        <f t="shared" si="36"/>
        <v>-2.0000000000000018</v>
      </c>
      <c r="BU18" s="7">
        <f t="shared" si="0"/>
        <v>3.5</v>
      </c>
      <c r="BV18" s="7">
        <f t="shared" si="1"/>
        <v>3.3899999999999997</v>
      </c>
      <c r="BW18" s="30">
        <f t="shared" si="37"/>
        <v>-3.1428571428571521</v>
      </c>
      <c r="BX18" s="7">
        <v>166</v>
      </c>
      <c r="BY18" s="8">
        <v>158</v>
      </c>
      <c r="BZ18" s="30">
        <f t="shared" si="38"/>
        <v>-4.8192771084337354</v>
      </c>
      <c r="CA18" s="7">
        <v>50</v>
      </c>
      <c r="CB18" s="8">
        <v>46</v>
      </c>
      <c r="CC18" s="30">
        <f t="shared" si="39"/>
        <v>-8</v>
      </c>
      <c r="CD18" s="7">
        <f t="shared" si="2"/>
        <v>99.8</v>
      </c>
      <c r="CE18" s="7">
        <f t="shared" si="3"/>
        <v>92.2</v>
      </c>
      <c r="CF18" s="30">
        <f t="shared" si="40"/>
        <v>-7.6152304609218389</v>
      </c>
      <c r="CG18" s="7">
        <v>81</v>
      </c>
      <c r="CH18" s="8">
        <v>99</v>
      </c>
      <c r="CI18" s="30">
        <f t="shared" si="41"/>
        <v>22.222222222222221</v>
      </c>
      <c r="CJ18" s="7">
        <v>5.0999999999999996</v>
      </c>
      <c r="CK18" s="9">
        <v>4.2</v>
      </c>
      <c r="CL18" s="30">
        <f t="shared" si="42"/>
        <v>-17.647058823529402</v>
      </c>
      <c r="CM18" s="7">
        <v>14.9</v>
      </c>
      <c r="CN18" s="10" t="s">
        <v>183</v>
      </c>
      <c r="CO18" s="30" t="e">
        <f t="shared" si="43"/>
        <v>#VALUE!</v>
      </c>
      <c r="CP18" s="7">
        <v>21.1</v>
      </c>
      <c r="CQ18" s="10" t="s">
        <v>184</v>
      </c>
      <c r="CR18" s="7">
        <v>75.3</v>
      </c>
      <c r="CS18" s="8" t="s">
        <v>185</v>
      </c>
      <c r="CT18" s="7">
        <f t="shared" si="4"/>
        <v>4.1883084577114431</v>
      </c>
      <c r="CU18" s="7" t="e">
        <f t="shared" si="5"/>
        <v>#VALUE!</v>
      </c>
      <c r="CV18" s="30" t="e">
        <f t="shared" si="44"/>
        <v>#VALUE!</v>
      </c>
      <c r="CW18" s="6">
        <f t="shared" si="6"/>
        <v>2.0493827160493829</v>
      </c>
      <c r="CX18" s="6">
        <f t="shared" si="7"/>
        <v>1.595959595959596</v>
      </c>
      <c r="CY18" s="6">
        <f t="shared" si="8"/>
        <v>1.2320987654320987</v>
      </c>
      <c r="CZ18" s="6">
        <f t="shared" si="9"/>
        <v>0.93131313131313131</v>
      </c>
      <c r="DA18" s="6">
        <f t="shared" si="10"/>
        <v>3.32</v>
      </c>
      <c r="DB18" s="6">
        <f t="shared" si="11"/>
        <v>3.4347826086956523</v>
      </c>
      <c r="DC18" s="6">
        <f t="shared" si="12"/>
        <v>1.996</v>
      </c>
      <c r="DD18" s="6">
        <f t="shared" si="13"/>
        <v>2.0043478260869567</v>
      </c>
      <c r="DE18" s="6">
        <f t="shared" si="14"/>
        <v>116</v>
      </c>
      <c r="DF18" s="6">
        <f t="shared" si="15"/>
        <v>112</v>
      </c>
      <c r="DG18" s="6">
        <v>25.3</v>
      </c>
      <c r="DH18" s="6">
        <v>24.9</v>
      </c>
      <c r="DI18" s="6">
        <v>282.56</v>
      </c>
      <c r="DJ18" s="6">
        <v>370.84</v>
      </c>
      <c r="DK18" s="6">
        <v>59.12</v>
      </c>
      <c r="DL18" s="6">
        <v>50.75</v>
      </c>
      <c r="DM18" s="30">
        <f t="shared" si="45"/>
        <v>-14.157645466847088</v>
      </c>
      <c r="DN18" s="6">
        <v>1010.64</v>
      </c>
      <c r="DO18" s="6">
        <v>1134.33</v>
      </c>
      <c r="DP18" s="30">
        <f t="shared" si="46"/>
        <v>12.238779387318921</v>
      </c>
      <c r="DQ18" s="6">
        <v>5.79</v>
      </c>
      <c r="DR18" s="6">
        <v>2.89</v>
      </c>
      <c r="DS18" s="30">
        <f t="shared" si="47"/>
        <v>-50.086355785837647</v>
      </c>
      <c r="DT18" s="7">
        <v>379.62</v>
      </c>
      <c r="DU18" s="7">
        <v>322.83999999999997</v>
      </c>
      <c r="DV18" s="30">
        <f t="shared" si="48"/>
        <v>-14.957062325483387</v>
      </c>
      <c r="DW18" s="6">
        <v>0.84099999999999997</v>
      </c>
      <c r="DX18" s="6">
        <v>0.6</v>
      </c>
      <c r="DY18" s="30">
        <f t="shared" si="49"/>
        <v>-28.656361474435194</v>
      </c>
      <c r="DZ18" s="6">
        <v>1423419.06</v>
      </c>
      <c r="EA18" s="6">
        <v>1792446.99</v>
      </c>
      <c r="EB18" s="30">
        <f t="shared" si="50"/>
        <v>25.925459365423976</v>
      </c>
      <c r="EC18" s="5">
        <v>0.48</v>
      </c>
      <c r="ED18" s="6">
        <v>1.06</v>
      </c>
      <c r="EE18" s="30">
        <f t="shared" si="51"/>
        <v>120.83333333333334</v>
      </c>
      <c r="EF18" s="6">
        <f t="shared" si="16"/>
        <v>235.0325581395349</v>
      </c>
      <c r="EG18" s="6">
        <f t="shared" si="17"/>
        <v>263.79767441860463</v>
      </c>
      <c r="EH18" s="6">
        <v>47.86</v>
      </c>
      <c r="EI18" s="6">
        <v>34.67</v>
      </c>
      <c r="EJ18" s="30">
        <f t="shared" si="52"/>
        <v>-27.559548683660672</v>
      </c>
      <c r="EK18" s="6">
        <v>56.24</v>
      </c>
      <c r="EL18" s="6">
        <v>40.98</v>
      </c>
      <c r="EM18" s="30">
        <f t="shared" si="53"/>
        <v>-27.133712660028458</v>
      </c>
    </row>
    <row r="19" spans="1:143">
      <c r="A19" s="5">
        <v>64</v>
      </c>
      <c r="B19" s="6">
        <v>1</v>
      </c>
      <c r="C19" s="6">
        <v>1</v>
      </c>
      <c r="D19" s="6">
        <v>51</v>
      </c>
      <c r="E19" s="6">
        <v>1</v>
      </c>
      <c r="F19" s="6" t="s">
        <v>186</v>
      </c>
      <c r="G19" s="6">
        <v>2</v>
      </c>
      <c r="H19" s="6">
        <v>1</v>
      </c>
      <c r="I19" s="6">
        <v>89.2</v>
      </c>
      <c r="J19" s="6">
        <v>89.8</v>
      </c>
      <c r="K19" s="30">
        <f t="shared" si="18"/>
        <v>0.67264573991030752</v>
      </c>
      <c r="L19" s="6">
        <v>1.57</v>
      </c>
      <c r="M19" s="6">
        <v>1.57</v>
      </c>
      <c r="N19" s="6">
        <v>36.18</v>
      </c>
      <c r="O19" s="6">
        <v>36.43</v>
      </c>
      <c r="P19" s="30">
        <f t="shared" si="19"/>
        <v>0.69098949695964618</v>
      </c>
      <c r="Q19" s="6">
        <v>100</v>
      </c>
      <c r="R19" s="6">
        <v>97</v>
      </c>
      <c r="S19" s="30">
        <f t="shared" si="20"/>
        <v>-3</v>
      </c>
      <c r="T19" s="6">
        <v>106</v>
      </c>
      <c r="U19" s="6">
        <v>110</v>
      </c>
      <c r="V19" s="30">
        <f t="shared" si="21"/>
        <v>3.7735849056603774</v>
      </c>
      <c r="W19" s="6">
        <v>117</v>
      </c>
      <c r="X19" s="6">
        <v>117</v>
      </c>
      <c r="Y19" s="30">
        <f t="shared" si="22"/>
        <v>0</v>
      </c>
      <c r="Z19" s="6">
        <v>115</v>
      </c>
      <c r="AA19" s="6">
        <v>110</v>
      </c>
      <c r="AB19" s="30">
        <f t="shared" si="23"/>
        <v>-4.3478260869565215</v>
      </c>
      <c r="AC19" s="6">
        <v>85</v>
      </c>
      <c r="AD19" s="6">
        <v>75</v>
      </c>
      <c r="AE19" s="30">
        <f t="shared" si="24"/>
        <v>-11.76470588235294</v>
      </c>
      <c r="AF19" s="6">
        <v>44.6</v>
      </c>
      <c r="AG19" s="6">
        <v>46.3</v>
      </c>
      <c r="AH19" s="30">
        <f t="shared" si="25"/>
        <v>3.8116591928251022</v>
      </c>
      <c r="AI19" s="6">
        <v>406</v>
      </c>
      <c r="AJ19" s="6">
        <v>440</v>
      </c>
      <c r="AK19" s="30">
        <f t="shared" si="26"/>
        <v>8.3743842364532011</v>
      </c>
      <c r="AL19" s="6">
        <v>45</v>
      </c>
      <c r="AM19" s="6">
        <v>47</v>
      </c>
      <c r="AN19" s="7">
        <v>95</v>
      </c>
      <c r="AO19" s="8">
        <v>97</v>
      </c>
      <c r="AP19" s="30">
        <f t="shared" si="27"/>
        <v>2.1052631578947367</v>
      </c>
      <c r="AQ19" s="7">
        <v>44</v>
      </c>
      <c r="AR19" s="8">
        <v>35</v>
      </c>
      <c r="AS19" s="30">
        <f t="shared" si="28"/>
        <v>-20.454545454545457</v>
      </c>
      <c r="AT19" s="7">
        <v>0.8</v>
      </c>
      <c r="AU19" s="11">
        <v>0.84</v>
      </c>
      <c r="AV19" s="30">
        <f t="shared" si="29"/>
        <v>4.9999999999999902</v>
      </c>
      <c r="AW19" s="7">
        <v>0.47</v>
      </c>
      <c r="AX19" s="11">
        <v>0.41</v>
      </c>
      <c r="AY19" s="30">
        <f t="shared" si="30"/>
        <v>-12.76595744680851</v>
      </c>
      <c r="AZ19" s="7">
        <v>0.08</v>
      </c>
      <c r="BA19" s="11">
        <v>0.08</v>
      </c>
      <c r="BB19" s="30">
        <f t="shared" si="31"/>
        <v>0</v>
      </c>
      <c r="BC19" s="7">
        <f t="shared" si="54"/>
        <v>0.38999999999999996</v>
      </c>
      <c r="BD19" s="7">
        <f t="shared" si="32"/>
        <v>0.32999999999999996</v>
      </c>
      <c r="BE19" s="30">
        <f t="shared" si="33"/>
        <v>-15.384615384615385</v>
      </c>
      <c r="BF19" s="7">
        <v>51</v>
      </c>
      <c r="BG19" s="8">
        <v>55</v>
      </c>
      <c r="BH19" s="7">
        <v>19</v>
      </c>
      <c r="BI19" s="8">
        <v>18</v>
      </c>
      <c r="BJ19" s="7">
        <v>33</v>
      </c>
      <c r="BK19" s="8">
        <v>36</v>
      </c>
      <c r="BL19" s="7">
        <v>5.9</v>
      </c>
      <c r="BM19" s="9">
        <v>5.8</v>
      </c>
      <c r="BN19" s="30">
        <f t="shared" si="34"/>
        <v>-1.6949152542372972</v>
      </c>
      <c r="BO19" s="7">
        <v>8.49</v>
      </c>
      <c r="BP19" s="11">
        <v>7.61</v>
      </c>
      <c r="BQ19" s="30">
        <f t="shared" si="35"/>
        <v>-10.365135453474675</v>
      </c>
      <c r="BR19" s="7">
        <v>4.22</v>
      </c>
      <c r="BS19" s="11">
        <v>4.0199999999999996</v>
      </c>
      <c r="BT19" s="30">
        <f t="shared" si="36"/>
        <v>-4.7393364928909998</v>
      </c>
      <c r="BU19" s="7">
        <f t="shared" si="0"/>
        <v>4.2700000000000005</v>
      </c>
      <c r="BV19" s="7">
        <f t="shared" si="1"/>
        <v>3.5900000000000007</v>
      </c>
      <c r="BW19" s="30">
        <f t="shared" si="37"/>
        <v>-15.92505854800936</v>
      </c>
      <c r="BX19" s="7">
        <v>230</v>
      </c>
      <c r="BY19" s="8">
        <v>211</v>
      </c>
      <c r="BZ19" s="30">
        <f t="shared" si="38"/>
        <v>-8.2608695652173907</v>
      </c>
      <c r="CA19" s="7">
        <v>46</v>
      </c>
      <c r="CB19" s="8">
        <v>43</v>
      </c>
      <c r="CC19" s="30">
        <f t="shared" si="39"/>
        <v>-6.5217391304347823</v>
      </c>
      <c r="CD19" s="7">
        <f t="shared" si="2"/>
        <v>124.8</v>
      </c>
      <c r="CE19" s="7">
        <f t="shared" si="3"/>
        <v>103.4</v>
      </c>
      <c r="CF19" s="30">
        <f t="shared" si="40"/>
        <v>-17.147435897435891</v>
      </c>
      <c r="CG19" s="7">
        <v>296</v>
      </c>
      <c r="CH19" s="8">
        <v>323</v>
      </c>
      <c r="CI19" s="30">
        <f t="shared" si="41"/>
        <v>9.121621621621621</v>
      </c>
      <c r="CJ19" s="7">
        <v>5</v>
      </c>
      <c r="CK19" s="9">
        <v>3.9</v>
      </c>
      <c r="CL19" s="30">
        <f t="shared" si="42"/>
        <v>-22.000000000000004</v>
      </c>
      <c r="CM19" s="7">
        <v>15.2</v>
      </c>
      <c r="CN19" s="10" t="s">
        <v>187</v>
      </c>
      <c r="CO19" s="30" t="e">
        <f t="shared" si="43"/>
        <v>#VALUE!</v>
      </c>
      <c r="CP19" s="7">
        <v>30</v>
      </c>
      <c r="CQ19" s="10" t="s">
        <v>188</v>
      </c>
      <c r="CR19" s="7">
        <v>59.3</v>
      </c>
      <c r="CS19" s="8" t="s">
        <v>189</v>
      </c>
      <c r="CT19" s="7">
        <f t="shared" si="4"/>
        <v>3.5920398009950247</v>
      </c>
      <c r="CU19" s="7" t="e">
        <f t="shared" si="5"/>
        <v>#VALUE!</v>
      </c>
      <c r="CV19" s="30" t="e">
        <f t="shared" si="44"/>
        <v>#VALUE!</v>
      </c>
      <c r="CW19" s="6">
        <f t="shared" si="6"/>
        <v>0.77702702702702697</v>
      </c>
      <c r="CX19" s="6">
        <f t="shared" si="7"/>
        <v>0.65325077399380804</v>
      </c>
      <c r="CY19" s="6">
        <f t="shared" si="8"/>
        <v>0.42162162162162159</v>
      </c>
      <c r="CZ19" s="6">
        <f t="shared" si="9"/>
        <v>0.32012383900928792</v>
      </c>
      <c r="DA19" s="6">
        <f t="shared" si="10"/>
        <v>5</v>
      </c>
      <c r="DB19" s="6">
        <f t="shared" si="11"/>
        <v>4.9069767441860463</v>
      </c>
      <c r="DC19" s="6">
        <f t="shared" si="12"/>
        <v>2.7130434782608694</v>
      </c>
      <c r="DD19" s="6">
        <f t="shared" si="13"/>
        <v>2.4046511627906977</v>
      </c>
      <c r="DE19" s="6">
        <f t="shared" si="14"/>
        <v>184</v>
      </c>
      <c r="DF19" s="6">
        <f t="shared" si="15"/>
        <v>168</v>
      </c>
      <c r="DG19" s="6">
        <v>36.9</v>
      </c>
      <c r="DH19" s="6">
        <v>38</v>
      </c>
      <c r="DI19" s="6">
        <v>269.98</v>
      </c>
      <c r="DJ19" s="6">
        <v>352.15</v>
      </c>
      <c r="DK19" s="6">
        <v>241.75</v>
      </c>
      <c r="DL19" s="6">
        <v>277.87</v>
      </c>
      <c r="DM19" s="30">
        <f t="shared" si="45"/>
        <v>14.941054808686664</v>
      </c>
      <c r="DN19" s="6">
        <v>1057.02</v>
      </c>
      <c r="DO19" s="6">
        <v>1302.77</v>
      </c>
      <c r="DP19" s="30">
        <f t="shared" si="46"/>
        <v>23.249323570036516</v>
      </c>
      <c r="DQ19" s="6">
        <v>7.17</v>
      </c>
      <c r="DR19" s="6">
        <v>6.15</v>
      </c>
      <c r="DS19" s="30">
        <f t="shared" si="47"/>
        <v>-14.225941422594138</v>
      </c>
      <c r="DT19" s="7">
        <v>453.44</v>
      </c>
      <c r="DU19" s="7">
        <v>398.18</v>
      </c>
      <c r="DV19" s="30">
        <f t="shared" si="48"/>
        <v>-12.18683839096683</v>
      </c>
      <c r="DW19" s="6">
        <v>0.34799999999999998</v>
      </c>
      <c r="DX19" s="6">
        <v>0.51100000000000001</v>
      </c>
      <c r="DY19" s="30">
        <f t="shared" si="49"/>
        <v>46.83908045977013</v>
      </c>
      <c r="DZ19" s="6">
        <v>1137146.8500000001</v>
      </c>
      <c r="EA19" s="6">
        <v>1721175.38</v>
      </c>
      <c r="EB19" s="30">
        <f t="shared" si="50"/>
        <v>51.35911250160872</v>
      </c>
      <c r="EC19" s="5">
        <v>0.89</v>
      </c>
      <c r="ED19" s="6">
        <v>1.92</v>
      </c>
      <c r="EE19" s="30">
        <f t="shared" si="51"/>
        <v>115.73033707865166</v>
      </c>
      <c r="EF19" s="6">
        <f t="shared" si="16"/>
        <v>179.15593220338982</v>
      </c>
      <c r="EG19" s="6">
        <f t="shared" si="17"/>
        <v>224.61551724137931</v>
      </c>
      <c r="EH19" s="6">
        <v>42.73</v>
      </c>
      <c r="EI19" s="6">
        <v>38.94</v>
      </c>
      <c r="EJ19" s="30">
        <f t="shared" si="52"/>
        <v>-8.8696466183009584</v>
      </c>
      <c r="EK19" s="6">
        <v>18.940000000000001</v>
      </c>
      <c r="EL19" s="6">
        <v>24.02</v>
      </c>
      <c r="EM19" s="30">
        <f t="shared" si="53"/>
        <v>26.821541710665247</v>
      </c>
    </row>
    <row r="20" spans="1:143">
      <c r="A20" s="5">
        <v>66</v>
      </c>
      <c r="B20" s="6">
        <v>1</v>
      </c>
      <c r="C20" s="6">
        <v>1</v>
      </c>
      <c r="D20" s="6">
        <v>47</v>
      </c>
      <c r="E20" s="6">
        <v>1</v>
      </c>
      <c r="F20" s="6" t="s">
        <v>190</v>
      </c>
      <c r="G20" s="6">
        <v>2</v>
      </c>
      <c r="H20" s="6">
        <v>1</v>
      </c>
      <c r="I20" s="6">
        <v>89.3</v>
      </c>
      <c r="J20" s="6">
        <v>90.3</v>
      </c>
      <c r="K20" s="30">
        <f t="shared" si="18"/>
        <v>1.1198208286674132</v>
      </c>
      <c r="L20" s="6">
        <v>1.63</v>
      </c>
      <c r="M20" s="6">
        <v>1.63</v>
      </c>
      <c r="N20" s="6">
        <v>33.71</v>
      </c>
      <c r="O20" s="6">
        <v>33.99</v>
      </c>
      <c r="P20" s="30">
        <f t="shared" si="19"/>
        <v>0.83061406110946645</v>
      </c>
      <c r="Q20" s="6">
        <v>99</v>
      </c>
      <c r="R20" s="6">
        <v>101</v>
      </c>
      <c r="S20" s="30">
        <f t="shared" si="20"/>
        <v>2.0202020202020203</v>
      </c>
      <c r="T20" s="6">
        <v>106</v>
      </c>
      <c r="U20" s="6">
        <v>108</v>
      </c>
      <c r="V20" s="30">
        <f t="shared" si="21"/>
        <v>1.8867924528301887</v>
      </c>
      <c r="W20" s="6">
        <v>103</v>
      </c>
      <c r="X20" s="6">
        <v>106</v>
      </c>
      <c r="Y20" s="30">
        <f t="shared" si="22"/>
        <v>2.912621359223301</v>
      </c>
      <c r="Z20" s="6">
        <v>120</v>
      </c>
      <c r="AA20" s="6">
        <v>115</v>
      </c>
      <c r="AB20" s="30">
        <f t="shared" si="23"/>
        <v>-4.1666666666666661</v>
      </c>
      <c r="AC20" s="6">
        <v>80</v>
      </c>
      <c r="AD20" s="6">
        <v>80</v>
      </c>
      <c r="AE20" s="30">
        <f t="shared" si="24"/>
        <v>0</v>
      </c>
      <c r="AF20" s="6">
        <v>41.1</v>
      </c>
      <c r="AG20" s="6">
        <v>43.2</v>
      </c>
      <c r="AH20" s="30">
        <f t="shared" si="25"/>
        <v>5.1094890510948936</v>
      </c>
      <c r="AI20" s="6">
        <v>428</v>
      </c>
      <c r="AJ20" s="6">
        <v>451</v>
      </c>
      <c r="AK20" s="30">
        <f t="shared" si="26"/>
        <v>5.3738317757009346</v>
      </c>
      <c r="AL20" s="6">
        <v>43</v>
      </c>
      <c r="AM20" s="6">
        <v>42</v>
      </c>
      <c r="AN20" s="7">
        <v>120</v>
      </c>
      <c r="AO20" s="8">
        <v>138</v>
      </c>
      <c r="AP20" s="30">
        <f t="shared" si="27"/>
        <v>15</v>
      </c>
      <c r="AQ20" s="7">
        <v>43</v>
      </c>
      <c r="AR20" s="8">
        <v>45</v>
      </c>
      <c r="AS20" s="30">
        <f t="shared" si="28"/>
        <v>4.6511627906976747</v>
      </c>
      <c r="AT20" s="7">
        <v>1.0900000000000001</v>
      </c>
      <c r="AU20" s="11">
        <v>1</v>
      </c>
      <c r="AV20" s="30">
        <f t="shared" si="29"/>
        <v>-8.2568807339449624</v>
      </c>
      <c r="AW20" s="7">
        <v>0.44</v>
      </c>
      <c r="AX20" s="11">
        <v>0.44</v>
      </c>
      <c r="AY20" s="30">
        <f t="shared" si="30"/>
        <v>0</v>
      </c>
      <c r="AZ20" s="7">
        <v>0.15</v>
      </c>
      <c r="BA20" s="11">
        <v>0.12</v>
      </c>
      <c r="BB20" s="30">
        <f t="shared" si="31"/>
        <v>-20</v>
      </c>
      <c r="BC20" s="7">
        <f t="shared" si="54"/>
        <v>0.29000000000000004</v>
      </c>
      <c r="BD20" s="7">
        <f t="shared" si="32"/>
        <v>0.32</v>
      </c>
      <c r="BE20" s="30">
        <f t="shared" si="33"/>
        <v>10.344827586206886</v>
      </c>
      <c r="BF20" s="7">
        <v>62</v>
      </c>
      <c r="BG20" s="8">
        <v>55</v>
      </c>
      <c r="BH20" s="7">
        <v>30</v>
      </c>
      <c r="BI20" s="8">
        <v>26</v>
      </c>
      <c r="BJ20" s="7">
        <v>41</v>
      </c>
      <c r="BK20" s="8">
        <v>44</v>
      </c>
      <c r="BL20" s="7">
        <v>5</v>
      </c>
      <c r="BM20" s="9">
        <v>4.5999999999999996</v>
      </c>
      <c r="BN20" s="30">
        <f t="shared" si="34"/>
        <v>-8.0000000000000071</v>
      </c>
      <c r="BO20" s="7">
        <v>7.4</v>
      </c>
      <c r="BP20" s="11">
        <v>7.21</v>
      </c>
      <c r="BQ20" s="30">
        <f t="shared" si="35"/>
        <v>-2.5675675675675724</v>
      </c>
      <c r="BR20" s="7">
        <v>4.21</v>
      </c>
      <c r="BS20" s="11">
        <v>4.0599999999999996</v>
      </c>
      <c r="BT20" s="30">
        <f t="shared" si="36"/>
        <v>-3.5629453681710297</v>
      </c>
      <c r="BU20" s="7">
        <f>BO20-BR20</f>
        <v>3.1900000000000004</v>
      </c>
      <c r="BV20" s="7">
        <f t="shared" ref="BV20:BV80" si="55">BP20-BS20</f>
        <v>3.1500000000000004</v>
      </c>
      <c r="BW20" s="30">
        <f t="shared" si="37"/>
        <v>-1.2539184952978066</v>
      </c>
      <c r="BX20" s="7">
        <v>200</v>
      </c>
      <c r="BY20" s="8">
        <v>237</v>
      </c>
      <c r="BZ20" s="30">
        <f t="shared" si="38"/>
        <v>18.5</v>
      </c>
      <c r="CA20" s="7">
        <v>23</v>
      </c>
      <c r="CB20" s="8">
        <v>27</v>
      </c>
      <c r="CC20" s="30">
        <f t="shared" si="39"/>
        <v>17.391304347826086</v>
      </c>
      <c r="CD20" s="7">
        <f t="shared" si="2"/>
        <v>132.80000000000001</v>
      </c>
      <c r="CE20" s="7">
        <f t="shared" si="3"/>
        <v>149.80000000000001</v>
      </c>
      <c r="CF20" s="30">
        <f t="shared" si="40"/>
        <v>12.801204819277107</v>
      </c>
      <c r="CG20" s="7">
        <v>221</v>
      </c>
      <c r="CH20" s="8">
        <v>301</v>
      </c>
      <c r="CI20" s="30">
        <f t="shared" si="41"/>
        <v>36.199095022624434</v>
      </c>
      <c r="CJ20" s="7">
        <v>5.3</v>
      </c>
      <c r="CK20" s="9">
        <v>4.4000000000000004</v>
      </c>
      <c r="CL20" s="30">
        <f t="shared" si="42"/>
        <v>-16.981132075471688</v>
      </c>
      <c r="CM20" s="7">
        <v>13.8</v>
      </c>
      <c r="CN20" s="10" t="s">
        <v>191</v>
      </c>
      <c r="CO20" s="30" t="e">
        <f t="shared" si="43"/>
        <v>#VALUE!</v>
      </c>
      <c r="CP20" s="7">
        <v>27.7</v>
      </c>
      <c r="CQ20" s="10" t="s">
        <v>192</v>
      </c>
      <c r="CR20" s="7">
        <v>19.2</v>
      </c>
      <c r="CS20" s="8" t="s">
        <v>193</v>
      </c>
      <c r="CT20" s="7">
        <f t="shared" si="4"/>
        <v>4.1194029850746272</v>
      </c>
      <c r="CU20" s="7" t="e">
        <f t="shared" si="5"/>
        <v>#VALUE!</v>
      </c>
      <c r="CV20" s="30" t="e">
        <f t="shared" si="44"/>
        <v>#VALUE!</v>
      </c>
      <c r="CW20" s="6">
        <f t="shared" si="6"/>
        <v>0.90497737556561086</v>
      </c>
      <c r="CX20" s="6">
        <f t="shared" si="7"/>
        <v>0.78737541528239208</v>
      </c>
      <c r="CY20" s="6">
        <f t="shared" si="8"/>
        <v>0.6009049773755657</v>
      </c>
      <c r="CZ20" s="6">
        <f t="shared" si="9"/>
        <v>0.49767441860465123</v>
      </c>
      <c r="DA20" s="6">
        <f t="shared" si="10"/>
        <v>8.695652173913043</v>
      </c>
      <c r="DB20" s="6">
        <f t="shared" si="11"/>
        <v>8.7777777777777786</v>
      </c>
      <c r="DC20" s="6">
        <f t="shared" si="12"/>
        <v>5.7739130434782613</v>
      </c>
      <c r="DD20" s="6">
        <f t="shared" si="13"/>
        <v>5.5481481481481483</v>
      </c>
      <c r="DE20" s="6">
        <f t="shared" si="14"/>
        <v>177</v>
      </c>
      <c r="DF20" s="6">
        <f t="shared" si="15"/>
        <v>210</v>
      </c>
      <c r="DG20" s="6">
        <v>45.3</v>
      </c>
      <c r="DH20" s="6">
        <v>45</v>
      </c>
      <c r="DI20" s="6">
        <v>236.8</v>
      </c>
      <c r="DJ20" s="6">
        <v>295.5</v>
      </c>
      <c r="DK20" s="6">
        <v>115.74</v>
      </c>
      <c r="DL20" s="6">
        <v>131.65</v>
      </c>
      <c r="DM20" s="30">
        <f t="shared" si="45"/>
        <v>13.746327976499058</v>
      </c>
      <c r="DN20" s="6">
        <v>1191.3399999999999</v>
      </c>
      <c r="DO20" s="6">
        <v>987.39</v>
      </c>
      <c r="DP20" s="30">
        <f t="shared" si="46"/>
        <v>-17.119378179193173</v>
      </c>
      <c r="DQ20" s="6">
        <v>12.43</v>
      </c>
      <c r="DR20" s="6">
        <v>4</v>
      </c>
      <c r="DS20" s="30">
        <f t="shared" si="47"/>
        <v>-67.819790828640379</v>
      </c>
      <c r="DT20" s="7">
        <v>588.48</v>
      </c>
      <c r="DU20" s="7">
        <v>471.04</v>
      </c>
      <c r="DV20" s="30">
        <f t="shared" si="48"/>
        <v>-19.956498096791734</v>
      </c>
      <c r="DW20" s="6">
        <v>0.99199999999999999</v>
      </c>
      <c r="DX20" s="6">
        <v>0.79300000000000004</v>
      </c>
      <c r="DY20" s="30">
        <f t="shared" si="49"/>
        <v>-20.060483870967737</v>
      </c>
      <c r="DZ20" s="6">
        <v>2699323.4</v>
      </c>
      <c r="EA20" s="6">
        <v>3628149.38</v>
      </c>
      <c r="EB20" s="30">
        <f t="shared" si="50"/>
        <v>34.40958500933975</v>
      </c>
      <c r="EC20" s="5">
        <v>2.2599999999999998</v>
      </c>
      <c r="ED20" s="6">
        <v>1.23</v>
      </c>
      <c r="EE20" s="30">
        <f t="shared" si="51"/>
        <v>-45.575221238938049</v>
      </c>
      <c r="EF20" s="6">
        <f t="shared" si="16"/>
        <v>238.26799999999997</v>
      </c>
      <c r="EG20" s="6">
        <f t="shared" si="17"/>
        <v>214.65</v>
      </c>
      <c r="EH20" s="6">
        <v>42.44</v>
      </c>
      <c r="EI20" s="6">
        <v>27.9</v>
      </c>
      <c r="EJ20" s="30">
        <f t="shared" si="52"/>
        <v>-34.260131950989631</v>
      </c>
      <c r="EK20" s="6">
        <v>45.37</v>
      </c>
      <c r="EL20" s="6">
        <v>30.44</v>
      </c>
      <c r="EM20" s="30">
        <f t="shared" si="53"/>
        <v>-32.907207405774734</v>
      </c>
    </row>
    <row r="21" spans="1:143">
      <c r="A21" s="5">
        <v>68</v>
      </c>
      <c r="B21" s="6">
        <v>1</v>
      </c>
      <c r="C21" s="6">
        <v>1</v>
      </c>
      <c r="D21" s="6">
        <v>57</v>
      </c>
      <c r="E21" s="6">
        <v>1</v>
      </c>
      <c r="F21" s="6" t="s">
        <v>194</v>
      </c>
      <c r="G21" s="6">
        <v>2</v>
      </c>
      <c r="H21" s="6">
        <v>1</v>
      </c>
      <c r="I21" s="6">
        <v>73.5</v>
      </c>
      <c r="J21" s="6">
        <v>73.099999999999994</v>
      </c>
      <c r="K21" s="30">
        <f t="shared" si="18"/>
        <v>-0.54421768707483775</v>
      </c>
      <c r="L21" s="6">
        <v>1.55</v>
      </c>
      <c r="M21" s="6">
        <v>1.55</v>
      </c>
      <c r="N21" s="6">
        <v>30.59</v>
      </c>
      <c r="O21" s="6">
        <v>30.43</v>
      </c>
      <c r="P21" s="30">
        <f t="shared" si="19"/>
        <v>-0.52304674730304068</v>
      </c>
      <c r="Q21" s="6">
        <v>94</v>
      </c>
      <c r="R21" s="6">
        <v>92</v>
      </c>
      <c r="S21" s="30">
        <f t="shared" si="20"/>
        <v>-2.1276595744680851</v>
      </c>
      <c r="T21" s="6">
        <v>92</v>
      </c>
      <c r="U21" s="6">
        <v>98</v>
      </c>
      <c r="V21" s="30">
        <f t="shared" si="21"/>
        <v>6.5217391304347823</v>
      </c>
      <c r="W21" s="6">
        <v>98</v>
      </c>
      <c r="X21" s="6">
        <v>97</v>
      </c>
      <c r="Y21" s="30">
        <f t="shared" si="22"/>
        <v>-1.0204081632653061</v>
      </c>
      <c r="Z21" s="6">
        <v>135</v>
      </c>
      <c r="AA21" s="6">
        <v>115</v>
      </c>
      <c r="AB21" s="30">
        <f t="shared" si="23"/>
        <v>-14.814814814814813</v>
      </c>
      <c r="AC21" s="6">
        <v>85</v>
      </c>
      <c r="AD21" s="6">
        <v>80</v>
      </c>
      <c r="AE21" s="30">
        <f t="shared" si="24"/>
        <v>-5.8823529411764701</v>
      </c>
      <c r="AF21" s="6">
        <v>40</v>
      </c>
      <c r="AG21" s="6">
        <v>40.4</v>
      </c>
      <c r="AH21" s="30">
        <f t="shared" si="25"/>
        <v>0.99999999999999634</v>
      </c>
      <c r="AI21" s="6">
        <v>473</v>
      </c>
      <c r="AJ21" s="6">
        <v>488</v>
      </c>
      <c r="AK21" s="30">
        <f t="shared" si="26"/>
        <v>3.1712473572938689</v>
      </c>
      <c r="AL21" s="6">
        <v>42</v>
      </c>
      <c r="AM21" s="6">
        <v>47</v>
      </c>
      <c r="AN21" s="7">
        <v>97</v>
      </c>
      <c r="AO21" s="8">
        <v>103</v>
      </c>
      <c r="AP21" s="30">
        <f t="shared" si="27"/>
        <v>6.1855670103092786</v>
      </c>
      <c r="AQ21" s="7">
        <v>32</v>
      </c>
      <c r="AR21" s="8">
        <v>31</v>
      </c>
      <c r="AS21" s="30">
        <f t="shared" si="28"/>
        <v>-3.125</v>
      </c>
      <c r="AT21" s="7">
        <v>0.68</v>
      </c>
      <c r="AU21" s="11">
        <v>0.63</v>
      </c>
      <c r="AV21" s="30">
        <f t="shared" si="29"/>
        <v>-7.3529411764705941</v>
      </c>
      <c r="AW21" s="7">
        <v>0.84</v>
      </c>
      <c r="AX21" s="11">
        <v>1.25</v>
      </c>
      <c r="AY21" s="30">
        <f t="shared" si="30"/>
        <v>48.80952380952381</v>
      </c>
      <c r="AZ21" s="7">
        <v>0.16</v>
      </c>
      <c r="BA21" s="11">
        <v>0.21</v>
      </c>
      <c r="BB21" s="30">
        <f t="shared" si="31"/>
        <v>31.249999999999993</v>
      </c>
      <c r="BC21" s="7">
        <f t="shared" si="54"/>
        <v>0.67999999999999994</v>
      </c>
      <c r="BD21" s="7">
        <f t="shared" si="32"/>
        <v>1.04</v>
      </c>
      <c r="BE21" s="30">
        <f t="shared" si="33"/>
        <v>52.94117647058826</v>
      </c>
      <c r="BF21" s="7">
        <v>19</v>
      </c>
      <c r="BG21" s="8">
        <v>22</v>
      </c>
      <c r="BH21" s="7">
        <v>22</v>
      </c>
      <c r="BI21" s="8">
        <v>21</v>
      </c>
      <c r="BJ21" s="7">
        <v>20</v>
      </c>
      <c r="BK21" s="8">
        <v>24</v>
      </c>
      <c r="BL21" s="7">
        <v>4.9000000000000004</v>
      </c>
      <c r="BM21" s="9">
        <v>4.8</v>
      </c>
      <c r="BN21" s="30">
        <f t="shared" si="34"/>
        <v>-2.0408163265306229</v>
      </c>
      <c r="BO21" s="7">
        <v>7.61</v>
      </c>
      <c r="BP21" s="11">
        <v>7.15</v>
      </c>
      <c r="BQ21" s="30">
        <f t="shared" si="35"/>
        <v>-6.0446780551905377</v>
      </c>
      <c r="BR21" s="7">
        <v>3.75</v>
      </c>
      <c r="BS21" s="11">
        <v>3.78</v>
      </c>
      <c r="BT21" s="30">
        <f t="shared" si="36"/>
        <v>0.79999999999999483</v>
      </c>
      <c r="BU21" s="7">
        <f>BO21-BR21</f>
        <v>3.8600000000000003</v>
      </c>
      <c r="BV21" s="7">
        <f t="shared" si="55"/>
        <v>3.3700000000000006</v>
      </c>
      <c r="BW21" s="30">
        <f t="shared" si="37"/>
        <v>-12.694300518134707</v>
      </c>
      <c r="BX21" s="7">
        <v>180</v>
      </c>
      <c r="BY21" s="8">
        <v>183</v>
      </c>
      <c r="BZ21" s="30">
        <f t="shared" si="38"/>
        <v>1.6666666666666667</v>
      </c>
      <c r="CA21" s="7">
        <v>44</v>
      </c>
      <c r="CB21" s="8">
        <v>51</v>
      </c>
      <c r="CC21" s="30">
        <f t="shared" si="39"/>
        <v>15.909090909090908</v>
      </c>
      <c r="CD21" s="7">
        <f t="shared" si="2"/>
        <v>124</v>
      </c>
      <c r="CE21" s="7">
        <f t="shared" si="3"/>
        <v>120.8</v>
      </c>
      <c r="CF21" s="30">
        <f t="shared" si="40"/>
        <v>-2.5806451612903252</v>
      </c>
      <c r="CG21" s="7">
        <v>60</v>
      </c>
      <c r="CH21" s="8">
        <v>56</v>
      </c>
      <c r="CI21" s="30">
        <f t="shared" si="41"/>
        <v>-6.666666666666667</v>
      </c>
      <c r="CJ21" s="7">
        <v>3.8</v>
      </c>
      <c r="CK21" s="9">
        <v>5.9</v>
      </c>
      <c r="CL21" s="30">
        <f t="shared" si="42"/>
        <v>55.263157894736857</v>
      </c>
      <c r="CM21" s="7">
        <v>7.4</v>
      </c>
      <c r="CN21" s="10" t="s">
        <v>195</v>
      </c>
      <c r="CO21" s="30" t="e">
        <f t="shared" si="43"/>
        <v>#VALUE!</v>
      </c>
      <c r="CP21" s="7">
        <v>30.7</v>
      </c>
      <c r="CQ21" s="10">
        <v>30</v>
      </c>
      <c r="CR21" s="7">
        <v>37.5</v>
      </c>
      <c r="CS21" s="8" t="s">
        <v>196</v>
      </c>
      <c r="CT21" s="7">
        <f t="shared" si="4"/>
        <v>1.7855721393034827</v>
      </c>
      <c r="CU21" s="7" t="e">
        <f t="shared" si="5"/>
        <v>#VALUE!</v>
      </c>
      <c r="CV21" s="30" t="e">
        <f t="shared" si="44"/>
        <v>#VALUE!</v>
      </c>
      <c r="CW21" s="6">
        <f t="shared" si="6"/>
        <v>3</v>
      </c>
      <c r="CX21" s="6">
        <f t="shared" si="7"/>
        <v>3.2678571428571428</v>
      </c>
      <c r="CY21" s="6">
        <f t="shared" si="8"/>
        <v>2.0666666666666669</v>
      </c>
      <c r="CZ21" s="6">
        <f t="shared" si="9"/>
        <v>2.157142857142857</v>
      </c>
      <c r="DA21" s="6">
        <f t="shared" si="10"/>
        <v>4.0909090909090908</v>
      </c>
      <c r="DB21" s="6">
        <f t="shared" si="11"/>
        <v>3.5882352941176472</v>
      </c>
      <c r="DC21" s="6">
        <f t="shared" si="12"/>
        <v>2.8181818181818183</v>
      </c>
      <c r="DD21" s="6">
        <f t="shared" si="13"/>
        <v>2.3686274509803922</v>
      </c>
      <c r="DE21" s="6">
        <f t="shared" si="14"/>
        <v>136</v>
      </c>
      <c r="DF21" s="6">
        <f t="shared" si="15"/>
        <v>132</v>
      </c>
      <c r="DG21" s="6">
        <v>22</v>
      </c>
      <c r="DH21" s="6"/>
      <c r="DI21" s="6">
        <v>234.52</v>
      </c>
      <c r="DJ21" s="6">
        <v>294.13</v>
      </c>
      <c r="DK21" s="6">
        <v>59.12</v>
      </c>
      <c r="DL21" s="6">
        <v>90.7</v>
      </c>
      <c r="DM21" s="30">
        <f t="shared" si="45"/>
        <v>53.416779431664416</v>
      </c>
      <c r="DN21" s="6">
        <v>1017.61</v>
      </c>
      <c r="DO21" s="6">
        <v>894.82</v>
      </c>
      <c r="DP21" s="30">
        <f t="shared" si="46"/>
        <v>-12.066508780377548</v>
      </c>
      <c r="DQ21" s="6">
        <v>13.98</v>
      </c>
      <c r="DR21" s="6">
        <v>6.7</v>
      </c>
      <c r="DS21" s="30">
        <f t="shared" si="47"/>
        <v>-52.074391988555078</v>
      </c>
      <c r="DT21" s="7">
        <v>448.78</v>
      </c>
      <c r="DU21" s="7">
        <v>513.28</v>
      </c>
      <c r="DV21" s="30">
        <f t="shared" si="48"/>
        <v>14.372298230758949</v>
      </c>
      <c r="DW21" s="6">
        <v>1.177</v>
      </c>
      <c r="DX21" s="6">
        <v>0.74</v>
      </c>
      <c r="DY21" s="30">
        <f t="shared" si="49"/>
        <v>-37.128292268479186</v>
      </c>
      <c r="DZ21" s="6">
        <v>1702550.04</v>
      </c>
      <c r="EA21" s="6">
        <v>3338644.2</v>
      </c>
      <c r="EB21" s="30">
        <f t="shared" si="50"/>
        <v>96.096685651600595</v>
      </c>
      <c r="EC21" s="5">
        <v>1.75</v>
      </c>
      <c r="ED21" s="6">
        <v>1.75</v>
      </c>
      <c r="EE21" s="30">
        <f t="shared" si="51"/>
        <v>0</v>
      </c>
      <c r="EF21" s="6">
        <f t="shared" si="16"/>
        <v>207.67551020408163</v>
      </c>
      <c r="EG21" s="6">
        <f t="shared" si="17"/>
        <v>186.42083333333335</v>
      </c>
      <c r="EH21" s="6">
        <v>49.62</v>
      </c>
      <c r="EI21" s="6">
        <v>43.38</v>
      </c>
      <c r="EJ21" s="30">
        <f t="shared" si="52"/>
        <v>-12.575574365175324</v>
      </c>
      <c r="EK21" s="6">
        <v>56.34</v>
      </c>
      <c r="EL21" s="6">
        <v>38.159999999999997</v>
      </c>
      <c r="EM21" s="30">
        <f t="shared" si="53"/>
        <v>-32.268370607028764</v>
      </c>
    </row>
    <row r="22" spans="1:143">
      <c r="A22" s="5">
        <v>69</v>
      </c>
      <c r="B22" s="6">
        <v>1</v>
      </c>
      <c r="C22" s="6">
        <v>1</v>
      </c>
      <c r="D22" s="6">
        <v>64</v>
      </c>
      <c r="E22" s="6">
        <v>2</v>
      </c>
      <c r="F22" s="6" t="s">
        <v>197</v>
      </c>
      <c r="G22" s="6">
        <v>2</v>
      </c>
      <c r="H22" s="6">
        <v>1</v>
      </c>
      <c r="I22" s="6">
        <v>106.9</v>
      </c>
      <c r="J22" s="6">
        <v>105</v>
      </c>
      <c r="K22" s="30">
        <f t="shared" si="18"/>
        <v>-1.7773620205799863</v>
      </c>
      <c r="L22" s="6">
        <v>1.74</v>
      </c>
      <c r="M22" s="6">
        <v>1.74</v>
      </c>
      <c r="N22" s="6">
        <v>35.299999999999997</v>
      </c>
      <c r="O22" s="6">
        <v>34.65</v>
      </c>
      <c r="P22" s="30">
        <f t="shared" si="19"/>
        <v>-1.8413597733711009</v>
      </c>
      <c r="Q22" s="6">
        <v>117</v>
      </c>
      <c r="R22" s="6">
        <v>112</v>
      </c>
      <c r="S22" s="30">
        <f t="shared" si="20"/>
        <v>-4.2735042735042734</v>
      </c>
      <c r="T22" s="6">
        <v>117</v>
      </c>
      <c r="U22" s="6">
        <v>119</v>
      </c>
      <c r="V22" s="30">
        <f t="shared" si="21"/>
        <v>1.7094017094017095</v>
      </c>
      <c r="W22" s="6">
        <v>112</v>
      </c>
      <c r="X22" s="6">
        <v>110</v>
      </c>
      <c r="Y22" s="30">
        <f t="shared" si="22"/>
        <v>-1.7857142857142856</v>
      </c>
      <c r="Z22" s="6">
        <v>120</v>
      </c>
      <c r="AA22" s="6">
        <v>115</v>
      </c>
      <c r="AB22" s="30">
        <f t="shared" si="23"/>
        <v>-4.1666666666666661</v>
      </c>
      <c r="AC22" s="6">
        <v>85</v>
      </c>
      <c r="AD22" s="6">
        <v>70</v>
      </c>
      <c r="AE22" s="30">
        <f t="shared" si="24"/>
        <v>-17.647058823529413</v>
      </c>
      <c r="AF22" s="6">
        <v>28.9</v>
      </c>
      <c r="AG22" s="6">
        <v>28</v>
      </c>
      <c r="AH22" s="30">
        <f t="shared" si="25"/>
        <v>-3.114186851211068</v>
      </c>
      <c r="AI22" s="6">
        <v>306</v>
      </c>
      <c r="AJ22" s="6">
        <v>306</v>
      </c>
      <c r="AK22" s="30">
        <f t="shared" si="26"/>
        <v>0</v>
      </c>
      <c r="AL22" s="6">
        <v>44</v>
      </c>
      <c r="AM22" s="6">
        <v>42</v>
      </c>
      <c r="AN22" s="7">
        <v>202</v>
      </c>
      <c r="AO22" s="8">
        <v>164</v>
      </c>
      <c r="AP22" s="30">
        <f t="shared" si="27"/>
        <v>-18.811881188118811</v>
      </c>
      <c r="AQ22" s="7">
        <v>53</v>
      </c>
      <c r="AR22" s="8">
        <v>87</v>
      </c>
      <c r="AS22" s="30">
        <f t="shared" si="28"/>
        <v>64.15094339622641</v>
      </c>
      <c r="AT22" s="7">
        <v>1.55</v>
      </c>
      <c r="AU22" s="11">
        <v>1.76</v>
      </c>
      <c r="AV22" s="30">
        <f t="shared" si="29"/>
        <v>13.548387096774192</v>
      </c>
      <c r="AW22" s="7">
        <v>0.65</v>
      </c>
      <c r="AX22" s="11">
        <v>0.47</v>
      </c>
      <c r="AY22" s="30">
        <f t="shared" si="30"/>
        <v>-27.692307692307701</v>
      </c>
      <c r="AZ22" s="7">
        <v>0.13</v>
      </c>
      <c r="BA22" s="11">
        <v>0.12</v>
      </c>
      <c r="BB22" s="30">
        <f t="shared" si="31"/>
        <v>-7.6923076923076987</v>
      </c>
      <c r="BC22" s="7">
        <f t="shared" si="54"/>
        <v>0.52</v>
      </c>
      <c r="BD22" s="7">
        <f t="shared" si="32"/>
        <v>0.35</v>
      </c>
      <c r="BE22" s="30">
        <f t="shared" si="33"/>
        <v>-32.692307692307701</v>
      </c>
      <c r="BF22" s="7">
        <v>55</v>
      </c>
      <c r="BG22" s="8">
        <v>64</v>
      </c>
      <c r="BH22" s="7">
        <v>30</v>
      </c>
      <c r="BI22" s="8">
        <v>44</v>
      </c>
      <c r="BJ22" s="7">
        <v>37</v>
      </c>
      <c r="BK22" s="8">
        <v>63</v>
      </c>
      <c r="BL22" s="7">
        <v>6.8</v>
      </c>
      <c r="BM22" s="9">
        <v>9.6</v>
      </c>
      <c r="BN22" s="30">
        <f t="shared" si="34"/>
        <v>41.17647058823529</v>
      </c>
      <c r="BO22" s="7">
        <v>6.98</v>
      </c>
      <c r="BP22" s="11">
        <v>7.41</v>
      </c>
      <c r="BQ22" s="30">
        <f t="shared" si="35"/>
        <v>6.1604584527220583</v>
      </c>
      <c r="BR22" s="7">
        <v>3.63</v>
      </c>
      <c r="BS22" s="11">
        <v>4.01</v>
      </c>
      <c r="BT22" s="30">
        <f t="shared" si="36"/>
        <v>10.468319559228648</v>
      </c>
      <c r="BU22" s="7">
        <f>BO22-BR22</f>
        <v>3.3500000000000005</v>
      </c>
      <c r="BV22" s="7">
        <f t="shared" si="55"/>
        <v>3.4000000000000004</v>
      </c>
      <c r="BW22" s="30">
        <f t="shared" si="37"/>
        <v>1.4925373134328301</v>
      </c>
      <c r="BX22" s="7">
        <v>174</v>
      </c>
      <c r="BY22" s="8">
        <v>208</v>
      </c>
      <c r="BZ22" s="30">
        <f t="shared" si="38"/>
        <v>19.540229885057471</v>
      </c>
      <c r="CA22" s="7">
        <v>34</v>
      </c>
      <c r="CB22" s="8">
        <v>36</v>
      </c>
      <c r="CC22" s="30">
        <f t="shared" si="39"/>
        <v>5.8823529411764701</v>
      </c>
      <c r="CD22" s="7">
        <f t="shared" si="2"/>
        <v>96.6</v>
      </c>
      <c r="CE22" s="7">
        <f t="shared" si="3"/>
        <v>116.8</v>
      </c>
      <c r="CF22" s="30">
        <f t="shared" si="40"/>
        <v>20.910973084886134</v>
      </c>
      <c r="CG22" s="7">
        <v>217</v>
      </c>
      <c r="CH22" s="8">
        <v>276</v>
      </c>
      <c r="CI22" s="30">
        <f t="shared" si="41"/>
        <v>27.188940092165897</v>
      </c>
      <c r="CJ22" s="7">
        <v>9.3000000000000007</v>
      </c>
      <c r="CK22" s="9">
        <v>4.4000000000000004</v>
      </c>
      <c r="CL22" s="30">
        <f t="shared" si="42"/>
        <v>-52.688172043010752</v>
      </c>
      <c r="CM22" s="7">
        <v>8.6999999999999993</v>
      </c>
      <c r="CN22" s="10" t="s">
        <v>198</v>
      </c>
      <c r="CO22" s="30" t="e">
        <f t="shared" si="43"/>
        <v>#VALUE!</v>
      </c>
      <c r="CP22" s="7">
        <v>27.3</v>
      </c>
      <c r="CQ22" s="10" t="s">
        <v>199</v>
      </c>
      <c r="CR22" s="7">
        <v>119.1</v>
      </c>
      <c r="CS22" s="8" t="s">
        <v>200</v>
      </c>
      <c r="CT22" s="7">
        <f t="shared" si="4"/>
        <v>4.3716417910447758</v>
      </c>
      <c r="CU22" s="7" t="e">
        <f t="shared" si="5"/>
        <v>#VALUE!</v>
      </c>
      <c r="CV22" s="30" t="e">
        <f t="shared" si="44"/>
        <v>#VALUE!</v>
      </c>
      <c r="CW22" s="6">
        <f t="shared" si="6"/>
        <v>0.8018433179723502</v>
      </c>
      <c r="CX22" s="6">
        <f t="shared" si="7"/>
        <v>0.75362318840579712</v>
      </c>
      <c r="CY22" s="6">
        <f t="shared" si="8"/>
        <v>0.44516129032258062</v>
      </c>
      <c r="CZ22" s="6">
        <f t="shared" si="9"/>
        <v>0.42318840579710143</v>
      </c>
      <c r="DA22" s="6">
        <f t="shared" si="10"/>
        <v>5.117647058823529</v>
      </c>
      <c r="DB22" s="6">
        <f t="shared" si="11"/>
        <v>5.7777777777777777</v>
      </c>
      <c r="DC22" s="6">
        <f t="shared" si="12"/>
        <v>2.841176470588235</v>
      </c>
      <c r="DD22" s="6">
        <f t="shared" si="13"/>
        <v>3.2444444444444445</v>
      </c>
      <c r="DE22" s="6">
        <f t="shared" si="14"/>
        <v>140</v>
      </c>
      <c r="DF22" s="6">
        <f t="shared" si="15"/>
        <v>172</v>
      </c>
      <c r="DG22" s="6">
        <v>36.4</v>
      </c>
      <c r="DH22" s="6">
        <v>54.3</v>
      </c>
      <c r="DI22" s="6">
        <v>208.2</v>
      </c>
      <c r="DJ22" s="6">
        <v>321.20999999999998</v>
      </c>
      <c r="DK22" s="6">
        <v>157.13</v>
      </c>
      <c r="DL22" s="6">
        <v>160.41999999999999</v>
      </c>
      <c r="DM22" s="30">
        <f t="shared" si="45"/>
        <v>2.093807675173418</v>
      </c>
      <c r="DN22" s="6">
        <v>1385.26</v>
      </c>
      <c r="DO22" s="6">
        <v>1175.8699999999999</v>
      </c>
      <c r="DP22" s="30">
        <f t="shared" si="46"/>
        <v>-15.115573971673196</v>
      </c>
      <c r="DQ22" s="6">
        <v>8.25</v>
      </c>
      <c r="DR22" s="6">
        <v>25.17</v>
      </c>
      <c r="DS22" s="30">
        <f t="shared" si="47"/>
        <v>205.09090909090912</v>
      </c>
      <c r="DT22" s="7">
        <v>405.17</v>
      </c>
      <c r="DU22" s="7">
        <v>520.29999999999995</v>
      </c>
      <c r="DV22" s="30">
        <f t="shared" si="48"/>
        <v>28.415233112027032</v>
      </c>
      <c r="DW22" s="6"/>
      <c r="DX22" s="6">
        <v>0.63</v>
      </c>
      <c r="DY22" s="30"/>
      <c r="DZ22" s="6">
        <v>4585716.09</v>
      </c>
      <c r="EA22" s="6">
        <v>3035077.47</v>
      </c>
      <c r="EB22" s="30">
        <f t="shared" si="50"/>
        <v>-33.814536041196561</v>
      </c>
      <c r="EC22" s="5">
        <v>0.55000000000000004</v>
      </c>
      <c r="ED22" s="6">
        <v>0.55000000000000004</v>
      </c>
      <c r="EE22" s="30">
        <f t="shared" si="51"/>
        <v>0</v>
      </c>
      <c r="EF22" s="6">
        <f t="shared" si="16"/>
        <v>203.71470588235294</v>
      </c>
      <c r="EG22" s="6">
        <f t="shared" si="17"/>
        <v>122.48645833333333</v>
      </c>
      <c r="EH22" s="6">
        <v>41.95</v>
      </c>
      <c r="EI22" s="6">
        <v>34.03</v>
      </c>
      <c r="EJ22" s="30">
        <f t="shared" si="52"/>
        <v>-18.879618593563769</v>
      </c>
      <c r="EK22" s="6">
        <v>50.18</v>
      </c>
      <c r="EL22" s="6">
        <v>20.79</v>
      </c>
      <c r="EM22" s="30">
        <f t="shared" si="53"/>
        <v>-58.56915105619769</v>
      </c>
    </row>
    <row r="23" spans="1:143">
      <c r="A23" s="5">
        <v>70</v>
      </c>
      <c r="B23" s="6">
        <v>1</v>
      </c>
      <c r="C23" s="6">
        <v>1</v>
      </c>
      <c r="D23" s="6">
        <v>66</v>
      </c>
      <c r="E23" s="6">
        <v>2</v>
      </c>
      <c r="F23" s="6" t="s">
        <v>201</v>
      </c>
      <c r="G23" s="6">
        <v>2</v>
      </c>
      <c r="H23" s="6">
        <v>1</v>
      </c>
      <c r="I23" s="6">
        <v>69.099999999999994</v>
      </c>
      <c r="J23" s="6">
        <v>71.3</v>
      </c>
      <c r="K23" s="30">
        <f t="shared" si="18"/>
        <v>3.183791606367588</v>
      </c>
      <c r="L23" s="6">
        <v>1.7</v>
      </c>
      <c r="M23" s="6">
        <v>1.7</v>
      </c>
      <c r="N23" s="6">
        <v>23.9</v>
      </c>
      <c r="O23" s="6">
        <v>24.67</v>
      </c>
      <c r="P23" s="30">
        <f t="shared" si="19"/>
        <v>3.2217573221757454</v>
      </c>
      <c r="Q23" s="6">
        <v>92.5</v>
      </c>
      <c r="R23" s="6">
        <v>94</v>
      </c>
      <c r="S23" s="30">
        <f t="shared" si="20"/>
        <v>1.6216216216216217</v>
      </c>
      <c r="T23" s="6">
        <v>94</v>
      </c>
      <c r="U23" s="6">
        <v>96</v>
      </c>
      <c r="V23" s="30">
        <f t="shared" si="21"/>
        <v>2.1276595744680851</v>
      </c>
      <c r="W23" s="6">
        <v>96</v>
      </c>
      <c r="X23" s="6">
        <v>96</v>
      </c>
      <c r="Y23" s="30">
        <f t="shared" si="22"/>
        <v>0</v>
      </c>
      <c r="Z23" s="6">
        <v>130</v>
      </c>
      <c r="AA23" s="6">
        <v>120</v>
      </c>
      <c r="AB23" s="30">
        <f t="shared" si="23"/>
        <v>-7.6923076923076925</v>
      </c>
      <c r="AC23" s="6">
        <v>90</v>
      </c>
      <c r="AD23" s="6">
        <v>75</v>
      </c>
      <c r="AE23" s="30">
        <f t="shared" si="24"/>
        <v>-16.666666666666664</v>
      </c>
      <c r="AF23" s="6">
        <v>19.8</v>
      </c>
      <c r="AG23" s="6">
        <v>23.1</v>
      </c>
      <c r="AH23" s="30">
        <f t="shared" si="25"/>
        <v>16.666666666666668</v>
      </c>
      <c r="AI23" s="6">
        <v>423</v>
      </c>
      <c r="AJ23" s="6">
        <v>450</v>
      </c>
      <c r="AK23" s="30">
        <f t="shared" si="26"/>
        <v>6.3829787234042552</v>
      </c>
      <c r="AL23" s="6">
        <v>31</v>
      </c>
      <c r="AM23" s="6">
        <v>32</v>
      </c>
      <c r="AN23" s="7">
        <v>120</v>
      </c>
      <c r="AO23" s="8">
        <v>104</v>
      </c>
      <c r="AP23" s="30">
        <f t="shared" si="27"/>
        <v>-13.333333333333334</v>
      </c>
      <c r="AQ23" s="7">
        <v>29</v>
      </c>
      <c r="AR23" s="8">
        <v>47</v>
      </c>
      <c r="AS23" s="30">
        <f t="shared" si="28"/>
        <v>62.068965517241381</v>
      </c>
      <c r="AT23" s="7">
        <v>1.06</v>
      </c>
      <c r="AU23" s="11">
        <v>1.02</v>
      </c>
      <c r="AV23" s="30">
        <f t="shared" si="29"/>
        <v>-3.7735849056603805</v>
      </c>
      <c r="AW23" s="7">
        <v>0.52</v>
      </c>
      <c r="AX23" s="11">
        <v>0.52</v>
      </c>
      <c r="AY23" s="30">
        <f t="shared" si="30"/>
        <v>0</v>
      </c>
      <c r="AZ23" s="7">
        <v>0.09</v>
      </c>
      <c r="BA23" s="11">
        <v>0.1</v>
      </c>
      <c r="BB23" s="30">
        <f t="shared" si="31"/>
        <v>11.111111111111121</v>
      </c>
      <c r="BC23" s="7">
        <f t="shared" si="54"/>
        <v>0.43000000000000005</v>
      </c>
      <c r="BD23" s="7">
        <f t="shared" si="32"/>
        <v>0.42000000000000004</v>
      </c>
      <c r="BE23" s="30">
        <f t="shared" si="33"/>
        <v>-2.3255813953488391</v>
      </c>
      <c r="BF23" s="7">
        <v>31</v>
      </c>
      <c r="BG23" s="8">
        <v>30</v>
      </c>
      <c r="BH23" s="7">
        <v>19</v>
      </c>
      <c r="BI23" s="8">
        <v>19</v>
      </c>
      <c r="BJ23" s="7">
        <v>25</v>
      </c>
      <c r="BK23" s="8">
        <v>28</v>
      </c>
      <c r="BL23" s="7">
        <v>5</v>
      </c>
      <c r="BM23" s="9">
        <v>5.2</v>
      </c>
      <c r="BN23" s="30">
        <f t="shared" si="34"/>
        <v>4.0000000000000036</v>
      </c>
      <c r="BO23" s="7">
        <v>7.21</v>
      </c>
      <c r="BP23" s="11">
        <v>6.69</v>
      </c>
      <c r="BQ23" s="30">
        <f t="shared" si="35"/>
        <v>-7.2122052704576918</v>
      </c>
      <c r="BR23" s="7">
        <v>3.91</v>
      </c>
      <c r="BS23" s="11">
        <v>3.71</v>
      </c>
      <c r="BT23" s="30">
        <f t="shared" si="36"/>
        <v>-5.1150895140664998</v>
      </c>
      <c r="BU23" s="7">
        <f>BO23-BR23</f>
        <v>3.3</v>
      </c>
      <c r="BV23" s="7">
        <f t="shared" si="55"/>
        <v>2.9800000000000004</v>
      </c>
      <c r="BW23" s="30">
        <f t="shared" si="37"/>
        <v>-9.6969696969696795</v>
      </c>
      <c r="BX23" s="7">
        <v>224</v>
      </c>
      <c r="BY23" s="8">
        <v>194</v>
      </c>
      <c r="BZ23" s="30">
        <f t="shared" si="38"/>
        <v>-13.392857142857142</v>
      </c>
      <c r="CA23" s="7">
        <v>44</v>
      </c>
      <c r="CB23" s="8">
        <v>39</v>
      </c>
      <c r="CC23" s="30">
        <f t="shared" si="39"/>
        <v>-11.363636363636363</v>
      </c>
      <c r="CD23" s="7">
        <f t="shared" si="2"/>
        <v>148.6</v>
      </c>
      <c r="CE23" s="7">
        <f t="shared" si="3"/>
        <v>121.2</v>
      </c>
      <c r="CF23" s="30">
        <f t="shared" si="40"/>
        <v>-18.438761776581423</v>
      </c>
      <c r="CG23" s="7">
        <v>157</v>
      </c>
      <c r="CH23" s="8">
        <v>169</v>
      </c>
      <c r="CI23" s="30">
        <f t="shared" si="41"/>
        <v>7.6433121019108281</v>
      </c>
      <c r="CJ23" s="7">
        <v>1.9</v>
      </c>
      <c r="CK23" s="9">
        <v>2</v>
      </c>
      <c r="CL23" s="30">
        <f t="shared" si="42"/>
        <v>5.2631578947368478</v>
      </c>
      <c r="CM23" s="7">
        <v>6.5</v>
      </c>
      <c r="CN23" s="10" t="s">
        <v>202</v>
      </c>
      <c r="CO23" s="30" t="e">
        <f t="shared" si="43"/>
        <v>#VALUE!</v>
      </c>
      <c r="CP23" s="7">
        <v>25</v>
      </c>
      <c r="CQ23" s="10">
        <v>22</v>
      </c>
      <c r="CR23" s="7">
        <v>67.099999999999994</v>
      </c>
      <c r="CS23" s="8" t="s">
        <v>203</v>
      </c>
      <c r="CT23" s="7">
        <f t="shared" si="4"/>
        <v>1.9402985074626866</v>
      </c>
      <c r="CU23" s="7" t="e">
        <f t="shared" si="5"/>
        <v>#VALUE!</v>
      </c>
      <c r="CV23" s="30" t="e">
        <f t="shared" si="44"/>
        <v>#VALUE!</v>
      </c>
      <c r="CW23" s="6">
        <f t="shared" si="6"/>
        <v>1.4267515923566878</v>
      </c>
      <c r="CX23" s="6">
        <f t="shared" si="7"/>
        <v>1.1479289940828403</v>
      </c>
      <c r="CY23" s="6">
        <f t="shared" si="8"/>
        <v>0.94649681528662422</v>
      </c>
      <c r="CZ23" s="6">
        <f t="shared" si="9"/>
        <v>0.71715976331360953</v>
      </c>
      <c r="DA23" s="6">
        <f t="shared" si="10"/>
        <v>5.0909090909090908</v>
      </c>
      <c r="DB23" s="6">
        <f t="shared" si="11"/>
        <v>4.9743589743589745</v>
      </c>
      <c r="DC23" s="6">
        <f t="shared" si="12"/>
        <v>3.377272727272727</v>
      </c>
      <c r="DD23" s="6">
        <f t="shared" si="13"/>
        <v>3.1076923076923078</v>
      </c>
      <c r="DE23" s="6">
        <f t="shared" si="14"/>
        <v>180</v>
      </c>
      <c r="DF23" s="6">
        <f t="shared" si="15"/>
        <v>155</v>
      </c>
      <c r="DG23" s="6">
        <v>29.4</v>
      </c>
      <c r="DH23" s="6">
        <v>28</v>
      </c>
      <c r="DI23" s="6">
        <v>209.3</v>
      </c>
      <c r="DJ23" s="6">
        <v>262.52</v>
      </c>
      <c r="DK23" s="6">
        <v>127.26</v>
      </c>
      <c r="DL23" s="6">
        <v>79.8</v>
      </c>
      <c r="DM23" s="30">
        <f t="shared" si="45"/>
        <v>-37.2937293729373</v>
      </c>
      <c r="DN23" s="6">
        <v>1227.32</v>
      </c>
      <c r="DO23" s="6">
        <v>1250.0999999999999</v>
      </c>
      <c r="DP23" s="30">
        <f t="shared" si="46"/>
        <v>1.8560766548251455</v>
      </c>
      <c r="DQ23" s="6">
        <v>4.92</v>
      </c>
      <c r="DR23" s="6">
        <v>6.46</v>
      </c>
      <c r="DS23" s="30">
        <f t="shared" si="47"/>
        <v>31.300813008130085</v>
      </c>
      <c r="DT23" s="7">
        <v>465.15</v>
      </c>
      <c r="DU23" s="7">
        <v>488.16</v>
      </c>
      <c r="DV23" s="30">
        <f t="shared" si="48"/>
        <v>4.9467913576265827</v>
      </c>
      <c r="DW23" s="6">
        <v>0.98299999999999998</v>
      </c>
      <c r="DX23" s="6">
        <v>0.69799999999999995</v>
      </c>
      <c r="DY23" s="30">
        <f t="shared" si="49"/>
        <v>-28.992878942014244</v>
      </c>
      <c r="DZ23" s="6">
        <v>2017317.16</v>
      </c>
      <c r="EA23" s="6">
        <v>1200754.18</v>
      </c>
      <c r="EB23" s="30">
        <f t="shared" si="50"/>
        <v>-40.477669857326745</v>
      </c>
      <c r="EC23" s="5">
        <v>8.57</v>
      </c>
      <c r="ED23" s="6">
        <v>8.57</v>
      </c>
      <c r="EE23" s="30">
        <f t="shared" si="51"/>
        <v>0</v>
      </c>
      <c r="EF23" s="6">
        <f t="shared" si="16"/>
        <v>245.464</v>
      </c>
      <c r="EG23" s="6">
        <f t="shared" si="17"/>
        <v>240.40384615384613</v>
      </c>
      <c r="EH23" s="6">
        <v>46.23</v>
      </c>
      <c r="EI23" s="6">
        <v>41.75</v>
      </c>
      <c r="EJ23" s="30">
        <f t="shared" si="52"/>
        <v>-9.6906770495349281</v>
      </c>
      <c r="EK23" s="6">
        <v>44.36</v>
      </c>
      <c r="EL23" s="6">
        <v>45.14</v>
      </c>
      <c r="EM23" s="30">
        <f t="shared" si="53"/>
        <v>1.7583408476104627</v>
      </c>
    </row>
    <row r="24" spans="1:143">
      <c r="A24" s="5">
        <v>72</v>
      </c>
      <c r="B24" s="6">
        <v>1</v>
      </c>
      <c r="C24" s="6">
        <v>1</v>
      </c>
      <c r="D24" s="6">
        <v>57</v>
      </c>
      <c r="E24" s="6">
        <v>1</v>
      </c>
      <c r="F24" s="6" t="s">
        <v>204</v>
      </c>
      <c r="G24" s="6">
        <v>1</v>
      </c>
      <c r="H24" s="6">
        <v>1</v>
      </c>
      <c r="I24" s="6">
        <v>61</v>
      </c>
      <c r="J24" s="6">
        <v>60.9</v>
      </c>
      <c r="K24" s="30">
        <f t="shared" si="18"/>
        <v>-0.16393442622951052</v>
      </c>
      <c r="L24" s="6">
        <v>1.56</v>
      </c>
      <c r="M24" s="6">
        <v>1.56</v>
      </c>
      <c r="N24" s="6">
        <v>25.06</v>
      </c>
      <c r="O24" s="6">
        <v>25.06</v>
      </c>
      <c r="P24" s="30">
        <f t="shared" si="19"/>
        <v>0</v>
      </c>
      <c r="Q24" s="6">
        <v>81</v>
      </c>
      <c r="R24" s="6">
        <v>82</v>
      </c>
      <c r="S24" s="30">
        <f t="shared" si="20"/>
        <v>1.2345679012345678</v>
      </c>
      <c r="T24" s="6">
        <v>90</v>
      </c>
      <c r="U24" s="6">
        <v>88</v>
      </c>
      <c r="V24" s="30">
        <f t="shared" si="21"/>
        <v>-2.2222222222222223</v>
      </c>
      <c r="W24" s="6">
        <v>97</v>
      </c>
      <c r="X24" s="6">
        <v>97</v>
      </c>
      <c r="Y24" s="30">
        <f t="shared" si="22"/>
        <v>0</v>
      </c>
      <c r="Z24" s="6">
        <v>135</v>
      </c>
      <c r="AA24" s="6">
        <v>135</v>
      </c>
      <c r="AB24" s="30">
        <f t="shared" si="23"/>
        <v>0</v>
      </c>
      <c r="AC24" s="6">
        <v>95</v>
      </c>
      <c r="AD24" s="6">
        <v>95</v>
      </c>
      <c r="AE24" s="30">
        <f t="shared" si="24"/>
        <v>0</v>
      </c>
      <c r="AF24" s="6">
        <v>23.9</v>
      </c>
      <c r="AG24" s="6">
        <v>23.9</v>
      </c>
      <c r="AH24" s="30">
        <f t="shared" si="25"/>
        <v>0</v>
      </c>
      <c r="AI24" s="6">
        <v>521</v>
      </c>
      <c r="AJ24" s="6">
        <v>521</v>
      </c>
      <c r="AK24" s="30">
        <f t="shared" si="26"/>
        <v>0</v>
      </c>
      <c r="AL24" s="6">
        <v>31</v>
      </c>
      <c r="AM24" s="6"/>
      <c r="AN24" s="7">
        <v>93</v>
      </c>
      <c r="AO24" s="8">
        <v>90</v>
      </c>
      <c r="AP24" s="30">
        <f t="shared" si="27"/>
        <v>-3.225806451612903</v>
      </c>
      <c r="AQ24" s="7">
        <v>44</v>
      </c>
      <c r="AR24" s="8">
        <v>36</v>
      </c>
      <c r="AS24" s="30">
        <f t="shared" si="28"/>
        <v>-18.181818181818183</v>
      </c>
      <c r="AT24" s="7">
        <v>0.68</v>
      </c>
      <c r="AU24" s="11">
        <v>0.64</v>
      </c>
      <c r="AV24" s="30">
        <f t="shared" si="29"/>
        <v>-5.8823529411764754</v>
      </c>
      <c r="AW24" s="7">
        <v>0.53</v>
      </c>
      <c r="AX24" s="11">
        <v>0.38</v>
      </c>
      <c r="AY24" s="30">
        <f t="shared" si="30"/>
        <v>-28.301886792452834</v>
      </c>
      <c r="AZ24" s="7">
        <v>0.16</v>
      </c>
      <c r="BA24" s="11">
        <v>0.1</v>
      </c>
      <c r="BB24" s="30">
        <f t="shared" si="31"/>
        <v>-37.5</v>
      </c>
      <c r="BC24" s="7">
        <f t="shared" si="54"/>
        <v>0.37</v>
      </c>
      <c r="BD24" s="7">
        <f t="shared" si="32"/>
        <v>0.28000000000000003</v>
      </c>
      <c r="BE24" s="30">
        <f t="shared" si="33"/>
        <v>-24.324324324324316</v>
      </c>
      <c r="BF24" s="7">
        <v>84</v>
      </c>
      <c r="BG24" s="8">
        <v>83</v>
      </c>
      <c r="BH24" s="7">
        <v>19</v>
      </c>
      <c r="BI24" s="8">
        <v>27</v>
      </c>
      <c r="BJ24" s="7">
        <v>38</v>
      </c>
      <c r="BK24" s="8">
        <v>46</v>
      </c>
      <c r="BL24" s="7">
        <v>5.3</v>
      </c>
      <c r="BM24" s="9">
        <v>5.3</v>
      </c>
      <c r="BN24" s="30">
        <f t="shared" si="34"/>
        <v>0</v>
      </c>
      <c r="BO24" s="7">
        <v>7.35</v>
      </c>
      <c r="BP24" s="11">
        <v>7.09</v>
      </c>
      <c r="BQ24" s="30">
        <f t="shared" si="35"/>
        <v>-3.5374149659863923</v>
      </c>
      <c r="BR24" s="7">
        <v>3.9</v>
      </c>
      <c r="BS24" s="11">
        <v>3.93</v>
      </c>
      <c r="BT24" s="30">
        <f t="shared" si="36"/>
        <v>0.7692307692307756</v>
      </c>
      <c r="BU24" s="7">
        <f t="shared" ref="BU24:BU39" si="56">BO24-BR24</f>
        <v>3.4499999999999997</v>
      </c>
      <c r="BV24" s="7">
        <f t="shared" si="55"/>
        <v>3.1599999999999997</v>
      </c>
      <c r="BW24" s="30">
        <f t="shared" si="37"/>
        <v>-8.4057971014492772</v>
      </c>
      <c r="BX24" s="7">
        <v>160</v>
      </c>
      <c r="BY24" s="8">
        <v>167</v>
      </c>
      <c r="BZ24" s="30">
        <f t="shared" si="38"/>
        <v>4.375</v>
      </c>
      <c r="CA24" s="7">
        <v>63</v>
      </c>
      <c r="CB24" s="8">
        <v>66</v>
      </c>
      <c r="CC24" s="30">
        <f t="shared" si="39"/>
        <v>4.7619047619047619</v>
      </c>
      <c r="CD24" s="7">
        <f t="shared" si="2"/>
        <v>81</v>
      </c>
      <c r="CE24" s="7">
        <f t="shared" si="3"/>
        <v>88.6</v>
      </c>
      <c r="CF24" s="30">
        <f t="shared" si="40"/>
        <v>9.3827160493827098</v>
      </c>
      <c r="CG24" s="7">
        <v>80</v>
      </c>
      <c r="CH24" s="8">
        <v>62</v>
      </c>
      <c r="CI24" s="30">
        <f t="shared" si="41"/>
        <v>-22.5</v>
      </c>
      <c r="CJ24" s="7">
        <v>1.8</v>
      </c>
      <c r="CK24" s="9">
        <v>1.3</v>
      </c>
      <c r="CL24" s="30">
        <f t="shared" si="42"/>
        <v>-27.777777777777779</v>
      </c>
      <c r="CM24" s="7">
        <v>4.8</v>
      </c>
      <c r="CN24" s="8">
        <v>4.5999999999999996</v>
      </c>
      <c r="CO24" s="30">
        <f t="shared" si="43"/>
        <v>-4.1666666666666705</v>
      </c>
      <c r="CP24" s="7">
        <v>33.299999999999997</v>
      </c>
      <c r="CQ24" s="8">
        <v>34.4</v>
      </c>
      <c r="CR24" s="7">
        <v>43.7</v>
      </c>
      <c r="CS24" s="8">
        <v>53</v>
      </c>
      <c r="CT24" s="7">
        <f t="shared" si="4"/>
        <v>1.1104477611940298</v>
      </c>
      <c r="CU24" s="7">
        <f t="shared" si="5"/>
        <v>1.0298507462686566</v>
      </c>
      <c r="CV24" s="30">
        <f t="shared" si="44"/>
        <v>-7.2580645161290382</v>
      </c>
      <c r="CW24" s="6">
        <f t="shared" si="6"/>
        <v>2</v>
      </c>
      <c r="CX24" s="6">
        <f t="shared" si="7"/>
        <v>2.693548387096774</v>
      </c>
      <c r="CY24" s="6">
        <f t="shared" si="8"/>
        <v>1.0125</v>
      </c>
      <c r="CZ24" s="6">
        <f t="shared" si="9"/>
        <v>1.4290322580645161</v>
      </c>
      <c r="DA24" s="6">
        <f t="shared" si="10"/>
        <v>2.5396825396825395</v>
      </c>
      <c r="DB24" s="6">
        <f t="shared" si="11"/>
        <v>2.5303030303030303</v>
      </c>
      <c r="DC24" s="6">
        <f t="shared" si="12"/>
        <v>1.2857142857142858</v>
      </c>
      <c r="DD24" s="6">
        <f t="shared" si="13"/>
        <v>1.3424242424242423</v>
      </c>
      <c r="DE24" s="6">
        <f t="shared" si="14"/>
        <v>97</v>
      </c>
      <c r="DF24" s="6">
        <f t="shared" si="15"/>
        <v>101</v>
      </c>
      <c r="DG24" s="6">
        <v>37.200000000000003</v>
      </c>
      <c r="DH24" s="6">
        <v>36</v>
      </c>
      <c r="DI24" s="6">
        <v>314.60000000000002</v>
      </c>
      <c r="DJ24" s="6">
        <v>339.9</v>
      </c>
      <c r="DK24" s="6">
        <v>69.14</v>
      </c>
      <c r="DL24" s="6">
        <v>93.37</v>
      </c>
      <c r="DM24" s="30">
        <f t="shared" si="45"/>
        <v>35.044836563494364</v>
      </c>
      <c r="DN24" s="6">
        <v>1270.22</v>
      </c>
      <c r="DO24" s="6">
        <v>926</v>
      </c>
      <c r="DP24" s="30">
        <f t="shared" si="46"/>
        <v>-27.099242650879379</v>
      </c>
      <c r="DQ24" s="6">
        <v>5.43</v>
      </c>
      <c r="DR24" s="6">
        <v>11.62</v>
      </c>
      <c r="DS24" s="30">
        <f t="shared" si="47"/>
        <v>113.99631675874768</v>
      </c>
      <c r="DT24" s="7">
        <v>583.27</v>
      </c>
      <c r="DU24" s="7">
        <v>586.01</v>
      </c>
      <c r="DV24" s="30">
        <f t="shared" si="48"/>
        <v>0.4697652888027859</v>
      </c>
      <c r="DW24" s="6">
        <v>1.2030000000000001</v>
      </c>
      <c r="DX24" s="6">
        <v>0.82299999999999995</v>
      </c>
      <c r="DY24" s="30">
        <f t="shared" si="49"/>
        <v>-31.587697423108903</v>
      </c>
      <c r="DZ24" s="6">
        <v>2415432.7799999998</v>
      </c>
      <c r="EA24" s="6">
        <v>2864712.54</v>
      </c>
      <c r="EB24" s="30">
        <f t="shared" si="50"/>
        <v>18.600383489040844</v>
      </c>
      <c r="EC24" s="5">
        <v>4.99</v>
      </c>
      <c r="ED24" s="6">
        <v>4.99</v>
      </c>
      <c r="EE24" s="30">
        <f t="shared" si="51"/>
        <v>0</v>
      </c>
      <c r="EF24" s="6">
        <f t="shared" si="16"/>
        <v>239.66415094339624</v>
      </c>
      <c r="EG24" s="6">
        <f t="shared" si="17"/>
        <v>174.71698113207549</v>
      </c>
      <c r="EH24" s="6">
        <v>48.7</v>
      </c>
      <c r="EI24" s="6">
        <v>48.92</v>
      </c>
      <c r="EJ24" s="30">
        <f t="shared" si="52"/>
        <v>0.45174537987679436</v>
      </c>
      <c r="EK24" s="6">
        <v>44.75</v>
      </c>
      <c r="EL24" s="6">
        <v>44.75</v>
      </c>
      <c r="EM24" s="30">
        <f t="shared" si="53"/>
        <v>0</v>
      </c>
    </row>
    <row r="25" spans="1:143">
      <c r="A25" s="5">
        <v>73</v>
      </c>
      <c r="B25" s="6">
        <v>1</v>
      </c>
      <c r="C25" s="6">
        <v>1</v>
      </c>
      <c r="D25" s="6">
        <v>58</v>
      </c>
      <c r="E25" s="6">
        <v>2</v>
      </c>
      <c r="F25" s="6" t="s">
        <v>205</v>
      </c>
      <c r="G25" s="6">
        <v>1</v>
      </c>
      <c r="H25" s="6">
        <v>1</v>
      </c>
      <c r="I25" s="6">
        <v>88.5</v>
      </c>
      <c r="J25" s="6">
        <v>87.4</v>
      </c>
      <c r="K25" s="30">
        <f t="shared" si="18"/>
        <v>-1.2429378531073383</v>
      </c>
      <c r="L25" s="6">
        <v>1.68</v>
      </c>
      <c r="M25" s="6">
        <v>1.68</v>
      </c>
      <c r="N25" s="6">
        <v>31.36</v>
      </c>
      <c r="O25" s="6">
        <v>30.99</v>
      </c>
      <c r="P25" s="30">
        <f t="shared" si="19"/>
        <v>-1.1798469387755135</v>
      </c>
      <c r="Q25" s="6">
        <v>96</v>
      </c>
      <c r="R25" s="6">
        <v>100</v>
      </c>
      <c r="S25" s="30">
        <f t="shared" si="20"/>
        <v>4.1666666666666661</v>
      </c>
      <c r="T25" s="6">
        <v>103</v>
      </c>
      <c r="U25" s="6">
        <v>107</v>
      </c>
      <c r="V25" s="30">
        <f t="shared" si="21"/>
        <v>3.8834951456310676</v>
      </c>
      <c r="W25" s="6">
        <v>108</v>
      </c>
      <c r="X25" s="6">
        <v>112</v>
      </c>
      <c r="Y25" s="30">
        <f t="shared" si="22"/>
        <v>3.7037037037037033</v>
      </c>
      <c r="Z25" s="6">
        <v>140</v>
      </c>
      <c r="AA25" s="6">
        <v>140</v>
      </c>
      <c r="AB25" s="30">
        <f t="shared" si="23"/>
        <v>0</v>
      </c>
      <c r="AC25" s="6">
        <v>95</v>
      </c>
      <c r="AD25" s="6">
        <v>90</v>
      </c>
      <c r="AE25" s="30">
        <f t="shared" si="24"/>
        <v>-5.2631578947368416</v>
      </c>
      <c r="AF25" s="6">
        <v>24.1</v>
      </c>
      <c r="AG25" s="6">
        <v>29.4</v>
      </c>
      <c r="AH25" s="30">
        <f t="shared" si="25"/>
        <v>21.991701244813264</v>
      </c>
      <c r="AI25" s="6">
        <v>451</v>
      </c>
      <c r="AJ25" s="6">
        <v>381</v>
      </c>
      <c r="AK25" s="30">
        <f t="shared" si="26"/>
        <v>-15.521064301552107</v>
      </c>
      <c r="AL25" s="6">
        <v>42</v>
      </c>
      <c r="AM25" s="6">
        <v>41</v>
      </c>
      <c r="AN25" s="7">
        <v>110</v>
      </c>
      <c r="AO25" s="8">
        <v>109</v>
      </c>
      <c r="AP25" s="30">
        <f t="shared" si="27"/>
        <v>-0.90909090909090906</v>
      </c>
      <c r="AQ25" s="7">
        <v>34</v>
      </c>
      <c r="AR25" s="8">
        <v>26</v>
      </c>
      <c r="AS25" s="30">
        <f t="shared" si="28"/>
        <v>-23.52941176470588</v>
      </c>
      <c r="AT25" s="7">
        <v>0.94</v>
      </c>
      <c r="AU25" s="11">
        <v>0.88</v>
      </c>
      <c r="AV25" s="30">
        <f t="shared" si="29"/>
        <v>-6.382978723404249</v>
      </c>
      <c r="AW25" s="7">
        <v>0.84</v>
      </c>
      <c r="AX25" s="11">
        <v>0.56999999999999995</v>
      </c>
      <c r="AY25" s="30">
        <f t="shared" si="30"/>
        <v>-32.142857142857146</v>
      </c>
      <c r="AZ25" s="7">
        <v>0.23</v>
      </c>
      <c r="BA25" s="11">
        <v>0.16</v>
      </c>
      <c r="BB25" s="30">
        <f t="shared" si="31"/>
        <v>-30.434782608695656</v>
      </c>
      <c r="BC25" s="7">
        <f t="shared" si="54"/>
        <v>0.61</v>
      </c>
      <c r="BD25" s="7">
        <f t="shared" si="32"/>
        <v>0.40999999999999992</v>
      </c>
      <c r="BE25" s="30">
        <f t="shared" si="33"/>
        <v>-32.786885245901651</v>
      </c>
      <c r="BF25" s="7">
        <v>70</v>
      </c>
      <c r="BG25" s="8">
        <v>64</v>
      </c>
      <c r="BH25" s="7">
        <v>17</v>
      </c>
      <c r="BI25" s="8">
        <v>18</v>
      </c>
      <c r="BJ25" s="7">
        <v>23</v>
      </c>
      <c r="BK25" s="8">
        <v>34</v>
      </c>
      <c r="BL25" s="7">
        <v>7.3</v>
      </c>
      <c r="BM25" s="9">
        <v>6.4</v>
      </c>
      <c r="BN25" s="30">
        <f t="shared" si="34"/>
        <v>-12.328767123287664</v>
      </c>
      <c r="BO25" s="7">
        <v>7.52</v>
      </c>
      <c r="BP25" s="11">
        <v>6.91</v>
      </c>
      <c r="BQ25" s="30">
        <f t="shared" si="35"/>
        <v>-8.1117021276595676</v>
      </c>
      <c r="BR25" s="7">
        <v>4.34</v>
      </c>
      <c r="BS25" s="11">
        <v>4.0199999999999996</v>
      </c>
      <c r="BT25" s="30">
        <f t="shared" si="36"/>
        <v>-7.3732718894009288</v>
      </c>
      <c r="BU25" s="7">
        <f t="shared" si="56"/>
        <v>3.1799999999999997</v>
      </c>
      <c r="BV25" s="7">
        <f t="shared" si="55"/>
        <v>2.8900000000000006</v>
      </c>
      <c r="BW25" s="30">
        <f t="shared" si="37"/>
        <v>-9.1194968553458864</v>
      </c>
      <c r="BX25" s="7">
        <v>150</v>
      </c>
      <c r="BY25" s="8">
        <v>146</v>
      </c>
      <c r="BZ25" s="30">
        <f t="shared" si="38"/>
        <v>-2.666666666666667</v>
      </c>
      <c r="CA25" s="7">
        <v>45</v>
      </c>
      <c r="CB25" s="8">
        <v>38</v>
      </c>
      <c r="CC25" s="30">
        <f t="shared" si="39"/>
        <v>-15.555555555555555</v>
      </c>
      <c r="CD25" s="7">
        <f t="shared" si="2"/>
        <v>66.599999999999994</v>
      </c>
      <c r="CE25" s="7">
        <f t="shared" si="3"/>
        <v>71</v>
      </c>
      <c r="CF25" s="30">
        <f t="shared" si="40"/>
        <v>6.6066066066066158</v>
      </c>
      <c r="CG25" s="7">
        <v>192</v>
      </c>
      <c r="CH25" s="8">
        <v>185</v>
      </c>
      <c r="CI25" s="30">
        <f t="shared" si="41"/>
        <v>-3.6458333333333335</v>
      </c>
      <c r="CJ25" s="7">
        <v>6.5</v>
      </c>
      <c r="CK25" s="9">
        <v>4.8</v>
      </c>
      <c r="CL25" s="30">
        <f t="shared" si="42"/>
        <v>-26.153846153846157</v>
      </c>
      <c r="CM25" s="7">
        <v>14.6</v>
      </c>
      <c r="CN25" s="8">
        <v>11.5</v>
      </c>
      <c r="CO25" s="30">
        <f t="shared" si="43"/>
        <v>-21.232876712328768</v>
      </c>
      <c r="CP25" s="7">
        <v>29</v>
      </c>
      <c r="CQ25" s="8">
        <v>31</v>
      </c>
      <c r="CR25" s="7">
        <v>68.900000000000006</v>
      </c>
      <c r="CS25" s="8">
        <v>102.9</v>
      </c>
      <c r="CT25" s="7">
        <f t="shared" si="4"/>
        <v>3.9950248756218905</v>
      </c>
      <c r="CU25" s="7">
        <f t="shared" si="5"/>
        <v>3.1181592039800994</v>
      </c>
      <c r="CV25" s="30">
        <f t="shared" si="44"/>
        <v>-21.948941469489416</v>
      </c>
      <c r="CW25" s="6">
        <f t="shared" si="6"/>
        <v>0.78125</v>
      </c>
      <c r="CX25" s="6">
        <f t="shared" si="7"/>
        <v>0.78918918918918923</v>
      </c>
      <c r="CY25" s="6">
        <f t="shared" si="8"/>
        <v>0.34687499999999999</v>
      </c>
      <c r="CZ25" s="6">
        <f t="shared" si="9"/>
        <v>0.38378378378378381</v>
      </c>
      <c r="DA25" s="6">
        <f t="shared" si="10"/>
        <v>3.3333333333333335</v>
      </c>
      <c r="DB25" s="6">
        <f t="shared" si="11"/>
        <v>3.8421052631578947</v>
      </c>
      <c r="DC25" s="6">
        <f t="shared" si="12"/>
        <v>1.48</v>
      </c>
      <c r="DD25" s="6">
        <f t="shared" si="13"/>
        <v>1.868421052631579</v>
      </c>
      <c r="DE25" s="6">
        <f t="shared" si="14"/>
        <v>105</v>
      </c>
      <c r="DF25" s="6">
        <f t="shared" si="15"/>
        <v>108</v>
      </c>
      <c r="DG25" s="6">
        <v>32.299999999999997</v>
      </c>
      <c r="DH25" s="6">
        <v>29.2</v>
      </c>
      <c r="DI25" s="6">
        <v>348.92</v>
      </c>
      <c r="DJ25" s="6">
        <v>353.87</v>
      </c>
      <c r="DK25" s="6">
        <v>111.73</v>
      </c>
      <c r="DL25" s="6">
        <v>99.22</v>
      </c>
      <c r="DM25" s="30">
        <f t="shared" si="45"/>
        <v>-11.196634744473288</v>
      </c>
      <c r="DN25" s="6">
        <v>1058.17</v>
      </c>
      <c r="DO25" s="6">
        <v>1021.6</v>
      </c>
      <c r="DP25" s="30">
        <f t="shared" si="46"/>
        <v>-3.4559664326148014</v>
      </c>
      <c r="DQ25" s="6">
        <v>5.07</v>
      </c>
      <c r="DR25" s="6">
        <v>5.99</v>
      </c>
      <c r="DS25" s="30">
        <f t="shared" si="47"/>
        <v>18.145956607495066</v>
      </c>
      <c r="DT25" s="7">
        <v>419.74</v>
      </c>
      <c r="DU25" s="7">
        <v>502.14</v>
      </c>
      <c r="DV25" s="30">
        <f t="shared" si="48"/>
        <v>19.63120026683184</v>
      </c>
      <c r="DW25" s="6">
        <v>1.1200000000000001</v>
      </c>
      <c r="DX25" s="6">
        <v>0.78100000000000003</v>
      </c>
      <c r="DY25" s="30">
        <f t="shared" si="49"/>
        <v>-30.267857142857146</v>
      </c>
      <c r="DZ25" s="6">
        <v>3375956.96</v>
      </c>
      <c r="EA25" s="6">
        <v>2658718.0299999998</v>
      </c>
      <c r="EB25" s="30">
        <f t="shared" si="50"/>
        <v>-21.24549982414468</v>
      </c>
      <c r="EC25" s="5">
        <v>30.42</v>
      </c>
      <c r="ED25" s="6">
        <v>57.6</v>
      </c>
      <c r="EE25" s="30">
        <f t="shared" si="51"/>
        <v>89.349112426035489</v>
      </c>
      <c r="EF25" s="6">
        <f t="shared" si="16"/>
        <v>144.95479452054795</v>
      </c>
      <c r="EG25" s="6">
        <f t="shared" si="17"/>
        <v>159.625</v>
      </c>
      <c r="EH25" s="6">
        <v>34.89</v>
      </c>
      <c r="EI25" s="6">
        <v>28.59</v>
      </c>
      <c r="EJ25" s="30">
        <f t="shared" si="52"/>
        <v>-18.056749785038694</v>
      </c>
      <c r="EK25" s="6">
        <v>37.32</v>
      </c>
      <c r="EL25" s="6">
        <v>59.26</v>
      </c>
      <c r="EM25" s="30">
        <f t="shared" si="53"/>
        <v>58.788853161843512</v>
      </c>
    </row>
    <row r="26" spans="1:143">
      <c r="A26" s="5">
        <v>74</v>
      </c>
      <c r="B26" s="6">
        <v>1</v>
      </c>
      <c r="C26" s="6">
        <v>1</v>
      </c>
      <c r="D26" s="6">
        <v>36</v>
      </c>
      <c r="E26" s="6">
        <v>2</v>
      </c>
      <c r="F26" s="6"/>
      <c r="G26" s="6">
        <v>2</v>
      </c>
      <c r="H26" s="6">
        <v>1</v>
      </c>
      <c r="I26" s="6">
        <v>72.900000000000006</v>
      </c>
      <c r="J26" s="6">
        <v>72.2</v>
      </c>
      <c r="K26" s="30">
        <f t="shared" si="18"/>
        <v>-0.96021947873800118</v>
      </c>
      <c r="L26" s="6">
        <v>1.69</v>
      </c>
      <c r="M26" s="6">
        <v>1.69</v>
      </c>
      <c r="N26" s="6">
        <v>25.52</v>
      </c>
      <c r="O26" s="6">
        <v>25.24</v>
      </c>
      <c r="P26" s="30">
        <f t="shared" si="19"/>
        <v>-1.0971786833855846</v>
      </c>
      <c r="Q26" s="6">
        <v>86</v>
      </c>
      <c r="R26" s="6">
        <v>86</v>
      </c>
      <c r="S26" s="30">
        <f t="shared" si="20"/>
        <v>0</v>
      </c>
      <c r="T26" s="6">
        <v>97</v>
      </c>
      <c r="U26" s="6">
        <v>90</v>
      </c>
      <c r="V26" s="30">
        <f t="shared" si="21"/>
        <v>-7.216494845360824</v>
      </c>
      <c r="W26" s="6">
        <v>92</v>
      </c>
      <c r="X26" s="6">
        <v>97</v>
      </c>
      <c r="Y26" s="30">
        <f t="shared" si="22"/>
        <v>5.4347826086956523</v>
      </c>
      <c r="Z26" s="6">
        <v>110</v>
      </c>
      <c r="AA26" s="6">
        <v>110</v>
      </c>
      <c r="AB26" s="30">
        <f t="shared" si="23"/>
        <v>0</v>
      </c>
      <c r="AC26" s="6">
        <v>80</v>
      </c>
      <c r="AD26" s="6">
        <v>70</v>
      </c>
      <c r="AE26" s="30">
        <f t="shared" si="24"/>
        <v>-12.5</v>
      </c>
      <c r="AF26" s="6">
        <v>18.2</v>
      </c>
      <c r="AG26" s="6">
        <v>21.7</v>
      </c>
      <c r="AH26" s="30">
        <f t="shared" si="25"/>
        <v>19.230769230769234</v>
      </c>
      <c r="AI26" s="6">
        <v>394</v>
      </c>
      <c r="AJ26" s="6">
        <v>462</v>
      </c>
      <c r="AK26" s="30">
        <f t="shared" si="26"/>
        <v>17.258883248730964</v>
      </c>
      <c r="AL26" s="6">
        <v>31</v>
      </c>
      <c r="AM26" s="6">
        <v>30</v>
      </c>
      <c r="AN26" s="7">
        <v>94</v>
      </c>
      <c r="AO26" s="8">
        <v>90</v>
      </c>
      <c r="AP26" s="30">
        <f t="shared" si="27"/>
        <v>-4.2553191489361701</v>
      </c>
      <c r="AQ26" s="7">
        <v>27</v>
      </c>
      <c r="AR26" s="8">
        <v>26</v>
      </c>
      <c r="AS26" s="30">
        <f t="shared" si="28"/>
        <v>-3.7037037037037033</v>
      </c>
      <c r="AT26" s="7">
        <v>1.04</v>
      </c>
      <c r="AU26" s="11">
        <v>1.01</v>
      </c>
      <c r="AV26" s="30">
        <f t="shared" si="29"/>
        <v>-2.8846153846153872</v>
      </c>
      <c r="AW26" s="7">
        <v>1.1200000000000001</v>
      </c>
      <c r="AX26" s="11">
        <v>1.83</v>
      </c>
      <c r="AY26" s="30">
        <f t="shared" si="30"/>
        <v>63.392857142857132</v>
      </c>
      <c r="AZ26" s="7">
        <v>0.17</v>
      </c>
      <c r="BA26" s="11">
        <v>0.24</v>
      </c>
      <c r="BB26" s="30">
        <f t="shared" si="31"/>
        <v>41.176470588235283</v>
      </c>
      <c r="BC26" s="7">
        <f t="shared" si="54"/>
        <v>0.95000000000000007</v>
      </c>
      <c r="BD26" s="7">
        <f t="shared" si="32"/>
        <v>1.59</v>
      </c>
      <c r="BE26" s="30">
        <f t="shared" si="33"/>
        <v>67.368421052631575</v>
      </c>
      <c r="BF26" s="7">
        <v>59</v>
      </c>
      <c r="BG26" s="8">
        <v>57</v>
      </c>
      <c r="BH26" s="7">
        <v>37</v>
      </c>
      <c r="BI26" s="8">
        <v>46</v>
      </c>
      <c r="BJ26" s="7">
        <v>95</v>
      </c>
      <c r="BK26" s="8">
        <v>99</v>
      </c>
      <c r="BL26" s="7">
        <v>6.1</v>
      </c>
      <c r="BM26" s="9">
        <v>7.3</v>
      </c>
      <c r="BN26" s="30">
        <f t="shared" si="34"/>
        <v>19.672131147540988</v>
      </c>
      <c r="BO26" s="7">
        <v>7.91</v>
      </c>
      <c r="BP26" s="11">
        <v>7.76</v>
      </c>
      <c r="BQ26" s="30">
        <f t="shared" si="35"/>
        <v>-1.896333754740839</v>
      </c>
      <c r="BR26" s="7">
        <v>4.33</v>
      </c>
      <c r="BS26" s="11">
        <v>4.43</v>
      </c>
      <c r="BT26" s="30">
        <f t="shared" si="36"/>
        <v>2.3094688221708926</v>
      </c>
      <c r="BU26" s="7">
        <f t="shared" si="56"/>
        <v>3.58</v>
      </c>
      <c r="BV26" s="7">
        <f t="shared" si="55"/>
        <v>3.33</v>
      </c>
      <c r="BW26" s="30">
        <f t="shared" si="37"/>
        <v>-6.983240223463687</v>
      </c>
      <c r="BX26" s="7">
        <v>220</v>
      </c>
      <c r="BY26" s="8">
        <v>216</v>
      </c>
      <c r="BZ26" s="30">
        <f t="shared" si="38"/>
        <v>-1.8181818181818181</v>
      </c>
      <c r="CA26" s="7">
        <v>29</v>
      </c>
      <c r="CB26" s="8">
        <v>32</v>
      </c>
      <c r="CC26" s="30">
        <f t="shared" si="39"/>
        <v>10.344827586206897</v>
      </c>
      <c r="CD26" s="7">
        <f t="shared" si="2"/>
        <v>138.6</v>
      </c>
      <c r="CE26" s="7">
        <f t="shared" si="3"/>
        <v>148.19999999999999</v>
      </c>
      <c r="CF26" s="30">
        <f t="shared" si="40"/>
        <v>6.9264069264069219</v>
      </c>
      <c r="CG26" s="7">
        <v>262</v>
      </c>
      <c r="CH26" s="8">
        <v>179</v>
      </c>
      <c r="CI26" s="30">
        <f t="shared" si="41"/>
        <v>-31.679389312977097</v>
      </c>
      <c r="CJ26" s="7">
        <v>1.8</v>
      </c>
      <c r="CK26" s="9">
        <v>1.9</v>
      </c>
      <c r="CL26" s="30">
        <f t="shared" si="42"/>
        <v>5.5555555555555483</v>
      </c>
      <c r="CM26" s="7">
        <v>25.2</v>
      </c>
      <c r="CN26" s="8">
        <v>17.600000000000001</v>
      </c>
      <c r="CO26" s="30">
        <f t="shared" si="43"/>
        <v>-30.158730158730151</v>
      </c>
      <c r="CP26" s="7">
        <v>29.3</v>
      </c>
      <c r="CQ26" s="8">
        <v>30.8</v>
      </c>
      <c r="CR26" s="7">
        <v>42.5</v>
      </c>
      <c r="CS26" s="8">
        <v>54.6</v>
      </c>
      <c r="CT26" s="7">
        <f t="shared" si="4"/>
        <v>5.8925373134328352</v>
      </c>
      <c r="CU26" s="7">
        <f t="shared" si="5"/>
        <v>3.9402985074626873</v>
      </c>
      <c r="CV26" s="30">
        <f t="shared" si="44"/>
        <v>-33.130699088145874</v>
      </c>
      <c r="CW26" s="6">
        <f t="shared" si="6"/>
        <v>0.83969465648854957</v>
      </c>
      <c r="CX26" s="6">
        <f t="shared" si="7"/>
        <v>1.2067039106145252</v>
      </c>
      <c r="CY26" s="6">
        <f t="shared" si="8"/>
        <v>0.52900763358778624</v>
      </c>
      <c r="CZ26" s="6">
        <f t="shared" si="9"/>
        <v>0.82793296089385471</v>
      </c>
      <c r="DA26" s="6">
        <f t="shared" si="10"/>
        <v>7.5862068965517242</v>
      </c>
      <c r="DB26" s="6">
        <f t="shared" si="11"/>
        <v>6.75</v>
      </c>
      <c r="DC26" s="6">
        <f t="shared" si="12"/>
        <v>4.7793103448275858</v>
      </c>
      <c r="DD26" s="6">
        <f t="shared" si="13"/>
        <v>4.6312499999999996</v>
      </c>
      <c r="DE26" s="6">
        <f t="shared" si="14"/>
        <v>191</v>
      </c>
      <c r="DF26" s="6">
        <f t="shared" si="15"/>
        <v>184</v>
      </c>
      <c r="DG26" s="6">
        <v>42.9</v>
      </c>
      <c r="DH26" s="6">
        <v>40.700000000000003</v>
      </c>
      <c r="DI26" s="6">
        <v>422.13</v>
      </c>
      <c r="DJ26" s="6">
        <v>418.15</v>
      </c>
      <c r="DK26" s="6">
        <v>138.12</v>
      </c>
      <c r="DL26" s="6">
        <v>208.2</v>
      </c>
      <c r="DM26" s="30">
        <f t="shared" si="45"/>
        <v>50.738488271068626</v>
      </c>
      <c r="DN26" s="6">
        <v>1204.49</v>
      </c>
      <c r="DO26" s="6">
        <v>1127.99</v>
      </c>
      <c r="DP26" s="30">
        <f t="shared" si="46"/>
        <v>-6.3512357927421563</v>
      </c>
      <c r="DQ26" s="6">
        <v>5.07</v>
      </c>
      <c r="DR26" s="6">
        <v>5.99</v>
      </c>
      <c r="DS26" s="30">
        <f t="shared" si="47"/>
        <v>18.145956607495066</v>
      </c>
      <c r="DT26" s="7">
        <v>499.28</v>
      </c>
      <c r="DU26" s="7">
        <v>491.09</v>
      </c>
      <c r="DV26" s="30">
        <f t="shared" si="48"/>
        <v>-1.6403621214548949</v>
      </c>
      <c r="DW26" s="6">
        <v>1.278</v>
      </c>
      <c r="DX26" s="6">
        <v>0.434</v>
      </c>
      <c r="DY26" s="30">
        <f t="shared" si="49"/>
        <v>-66.04068857589985</v>
      </c>
      <c r="DZ26" s="6">
        <v>2048681.2</v>
      </c>
      <c r="EA26" s="6">
        <v>3275756.5</v>
      </c>
      <c r="EB26" s="30">
        <f t="shared" si="50"/>
        <v>59.89586373907273</v>
      </c>
      <c r="EC26" s="5">
        <v>0.72</v>
      </c>
      <c r="ED26" s="6">
        <v>1.92</v>
      </c>
      <c r="EE26" s="30">
        <f t="shared" si="51"/>
        <v>166.66666666666669</v>
      </c>
      <c r="EF26" s="6">
        <f t="shared" si="16"/>
        <v>197.45737704918034</v>
      </c>
      <c r="EG26" s="6">
        <f t="shared" si="17"/>
        <v>154.51917808219179</v>
      </c>
      <c r="EH26" s="6">
        <v>57.59</v>
      </c>
      <c r="EI26" s="6">
        <v>40.21</v>
      </c>
      <c r="EJ26" s="30">
        <f t="shared" si="52"/>
        <v>-30.178850494877587</v>
      </c>
      <c r="EK26" s="6">
        <v>43.72</v>
      </c>
      <c r="EL26" s="6">
        <v>52.58</v>
      </c>
      <c r="EM26" s="30">
        <f t="shared" si="53"/>
        <v>20.265324794144554</v>
      </c>
    </row>
    <row r="27" spans="1:143">
      <c r="A27" s="5">
        <v>77</v>
      </c>
      <c r="B27" s="6">
        <v>1</v>
      </c>
      <c r="C27" s="6">
        <v>1</v>
      </c>
      <c r="D27" s="6">
        <v>47</v>
      </c>
      <c r="E27" s="6">
        <v>1</v>
      </c>
      <c r="F27" s="6" t="s">
        <v>206</v>
      </c>
      <c r="G27" s="6">
        <v>2</v>
      </c>
      <c r="H27" s="6">
        <v>1</v>
      </c>
      <c r="I27" s="6">
        <v>65.400000000000006</v>
      </c>
      <c r="J27" s="6">
        <v>67.099999999999994</v>
      </c>
      <c r="K27" s="30">
        <f t="shared" si="18"/>
        <v>2.5993883792048753</v>
      </c>
      <c r="L27" s="6">
        <v>1.65</v>
      </c>
      <c r="M27" s="6">
        <v>1.65</v>
      </c>
      <c r="N27" s="6">
        <v>24.02</v>
      </c>
      <c r="O27" s="6">
        <v>24.67</v>
      </c>
      <c r="P27" s="30">
        <f t="shared" si="19"/>
        <v>2.7060782681099171</v>
      </c>
      <c r="Q27" s="6">
        <v>67</v>
      </c>
      <c r="R27" s="6">
        <v>78</v>
      </c>
      <c r="S27" s="30">
        <f t="shared" si="20"/>
        <v>16.417910447761194</v>
      </c>
      <c r="T27" s="6">
        <v>93</v>
      </c>
      <c r="U27" s="6">
        <v>90</v>
      </c>
      <c r="V27" s="30">
        <f t="shared" si="21"/>
        <v>-3.225806451612903</v>
      </c>
      <c r="W27" s="6">
        <v>99</v>
      </c>
      <c r="X27" s="6">
        <v>102</v>
      </c>
      <c r="Y27" s="30">
        <f t="shared" si="22"/>
        <v>3.0303030303030303</v>
      </c>
      <c r="Z27" s="6">
        <v>125</v>
      </c>
      <c r="AA27" s="6">
        <v>120</v>
      </c>
      <c r="AB27" s="30">
        <f t="shared" si="23"/>
        <v>-4</v>
      </c>
      <c r="AC27" s="6">
        <v>90</v>
      </c>
      <c r="AD27" s="6">
        <v>80</v>
      </c>
      <c r="AE27" s="30">
        <f t="shared" si="24"/>
        <v>-11.111111111111111</v>
      </c>
      <c r="AF27" s="6">
        <v>25.4</v>
      </c>
      <c r="AG27" s="6">
        <v>29.8</v>
      </c>
      <c r="AH27" s="30">
        <f t="shared" si="25"/>
        <v>17.3228346456693</v>
      </c>
      <c r="AI27" s="6">
        <v>442</v>
      </c>
      <c r="AJ27" s="6">
        <v>502</v>
      </c>
      <c r="AK27" s="30">
        <f t="shared" si="26"/>
        <v>13.574660633484163</v>
      </c>
      <c r="AL27" s="6">
        <v>29</v>
      </c>
      <c r="AM27" s="6">
        <v>32</v>
      </c>
      <c r="AN27" s="7">
        <v>111</v>
      </c>
      <c r="AO27" s="8">
        <v>140</v>
      </c>
      <c r="AP27" s="30">
        <f t="shared" si="27"/>
        <v>26.126126126126124</v>
      </c>
      <c r="AQ27" s="7">
        <v>34</v>
      </c>
      <c r="AR27" s="8">
        <v>31</v>
      </c>
      <c r="AS27" s="30">
        <f t="shared" si="28"/>
        <v>-8.8235294117647065</v>
      </c>
      <c r="AT27" s="7">
        <v>0.77</v>
      </c>
      <c r="AU27" s="11">
        <v>0.73</v>
      </c>
      <c r="AV27" s="30">
        <f t="shared" si="29"/>
        <v>-5.1948051948051992</v>
      </c>
      <c r="AW27" s="7">
        <v>0.39</v>
      </c>
      <c r="AX27" s="11">
        <v>0.4</v>
      </c>
      <c r="AY27" s="30">
        <f t="shared" si="30"/>
        <v>2.5641025641025665</v>
      </c>
      <c r="AZ27" s="7">
        <v>0.09</v>
      </c>
      <c r="BA27" s="11">
        <v>0.1</v>
      </c>
      <c r="BB27" s="30">
        <f t="shared" si="31"/>
        <v>11.111111111111121</v>
      </c>
      <c r="BC27" s="7">
        <f t="shared" si="54"/>
        <v>0.30000000000000004</v>
      </c>
      <c r="BD27" s="7">
        <f t="shared" si="32"/>
        <v>0.30000000000000004</v>
      </c>
      <c r="BE27" s="30">
        <f t="shared" si="33"/>
        <v>0</v>
      </c>
      <c r="BF27" s="7">
        <v>21</v>
      </c>
      <c r="BG27" s="8">
        <v>24</v>
      </c>
      <c r="BH27" s="7">
        <v>11</v>
      </c>
      <c r="BI27" s="8">
        <v>14</v>
      </c>
      <c r="BJ27" s="7">
        <v>18</v>
      </c>
      <c r="BK27" s="8">
        <v>20</v>
      </c>
      <c r="BL27" s="7">
        <v>4.0999999999999996</v>
      </c>
      <c r="BM27" s="9">
        <v>3.8</v>
      </c>
      <c r="BN27" s="30">
        <f t="shared" si="34"/>
        <v>-7.317073170731704</v>
      </c>
      <c r="BO27" s="7">
        <v>7.7</v>
      </c>
      <c r="BP27" s="11">
        <v>7.28</v>
      </c>
      <c r="BQ27" s="30">
        <f t="shared" si="35"/>
        <v>-5.4545454545454533</v>
      </c>
      <c r="BR27" s="7">
        <v>4.04</v>
      </c>
      <c r="BS27" s="11">
        <v>3.9</v>
      </c>
      <c r="BT27" s="30">
        <f t="shared" si="36"/>
        <v>-3.4653465346534684</v>
      </c>
      <c r="BU27" s="7">
        <f t="shared" si="56"/>
        <v>3.66</v>
      </c>
      <c r="BV27" s="7">
        <f t="shared" si="55"/>
        <v>3.3800000000000003</v>
      </c>
      <c r="BW27" s="30">
        <f t="shared" si="37"/>
        <v>-7.6502732240437101</v>
      </c>
      <c r="BX27" s="7">
        <v>200</v>
      </c>
      <c r="BY27" s="8">
        <v>175</v>
      </c>
      <c r="BZ27" s="30">
        <f t="shared" si="38"/>
        <v>-12.5</v>
      </c>
      <c r="CA27" s="7">
        <v>64</v>
      </c>
      <c r="CB27" s="8">
        <v>56</v>
      </c>
      <c r="CC27" s="30">
        <f t="shared" si="39"/>
        <v>-12.5</v>
      </c>
      <c r="CD27" s="7">
        <f t="shared" si="2"/>
        <v>108.8</v>
      </c>
      <c r="CE27" s="7">
        <f t="shared" si="3"/>
        <v>103.6</v>
      </c>
      <c r="CF27" s="30">
        <f t="shared" si="40"/>
        <v>-4.7794117647058849</v>
      </c>
      <c r="CG27" s="7">
        <v>136</v>
      </c>
      <c r="CH27" s="8">
        <v>77</v>
      </c>
      <c r="CI27" s="30">
        <f t="shared" si="41"/>
        <v>-43.382352941176471</v>
      </c>
      <c r="CJ27" s="7">
        <v>1.6</v>
      </c>
      <c r="CK27" s="9">
        <v>1.2</v>
      </c>
      <c r="CL27" s="30">
        <f t="shared" si="42"/>
        <v>-25.000000000000007</v>
      </c>
      <c r="CM27" s="7">
        <v>6.8</v>
      </c>
      <c r="CN27" s="8">
        <v>8.1999999999999993</v>
      </c>
      <c r="CO27" s="30">
        <f t="shared" si="43"/>
        <v>20.588235294117641</v>
      </c>
      <c r="CP27" s="7">
        <v>30.7</v>
      </c>
      <c r="CQ27" s="8">
        <v>32.799999999999997</v>
      </c>
      <c r="CR27" s="7">
        <v>58</v>
      </c>
      <c r="CS27" s="8">
        <v>60</v>
      </c>
      <c r="CT27" s="7">
        <f t="shared" si="4"/>
        <v>1.8776119402985074</v>
      </c>
      <c r="CU27" s="7">
        <f t="shared" si="5"/>
        <v>2.855721393034826</v>
      </c>
      <c r="CV27" s="30">
        <f t="shared" si="44"/>
        <v>52.093269740328573</v>
      </c>
      <c r="CW27" s="6">
        <f t="shared" si="6"/>
        <v>1.4705882352941178</v>
      </c>
      <c r="CX27" s="6">
        <f t="shared" si="7"/>
        <v>2.2727272727272729</v>
      </c>
      <c r="CY27" s="6">
        <f t="shared" si="8"/>
        <v>0.79999999999999993</v>
      </c>
      <c r="CZ27" s="6">
        <f t="shared" si="9"/>
        <v>1.3454545454545455</v>
      </c>
      <c r="DA27" s="6">
        <f t="shared" si="10"/>
        <v>3.125</v>
      </c>
      <c r="DB27" s="6">
        <f t="shared" si="11"/>
        <v>3.125</v>
      </c>
      <c r="DC27" s="6">
        <f t="shared" si="12"/>
        <v>1.7</v>
      </c>
      <c r="DD27" s="6">
        <f t="shared" si="13"/>
        <v>1.8499999999999999</v>
      </c>
      <c r="DE27" s="6">
        <f t="shared" si="14"/>
        <v>136</v>
      </c>
      <c r="DF27" s="6">
        <f t="shared" si="15"/>
        <v>119</v>
      </c>
      <c r="DG27" s="6">
        <v>30.6</v>
      </c>
      <c r="DH27" s="6">
        <v>31.2</v>
      </c>
      <c r="DI27" s="6">
        <v>350.06</v>
      </c>
      <c r="DJ27" s="6">
        <v>370.29</v>
      </c>
      <c r="DK27" s="6">
        <v>113.74</v>
      </c>
      <c r="DL27" s="6">
        <v>119.95</v>
      </c>
      <c r="DM27" s="30">
        <f t="shared" si="45"/>
        <v>5.4598206435730683</v>
      </c>
      <c r="DN27" s="6">
        <v>1364.28</v>
      </c>
      <c r="DO27" s="6">
        <v>882.48</v>
      </c>
      <c r="DP27" s="30">
        <f t="shared" si="46"/>
        <v>-35.315331163690736</v>
      </c>
      <c r="DQ27" s="6">
        <v>5.28</v>
      </c>
      <c r="DR27" s="6">
        <v>7.7</v>
      </c>
      <c r="DS27" s="30">
        <f t="shared" si="47"/>
        <v>45.833333333333329</v>
      </c>
      <c r="DT27" s="7">
        <v>491.36</v>
      </c>
      <c r="DU27" s="7">
        <v>539.29</v>
      </c>
      <c r="DV27" s="30">
        <f t="shared" si="48"/>
        <v>9.7545587756431029</v>
      </c>
      <c r="DW27" s="6">
        <v>1.411</v>
      </c>
      <c r="DX27" s="6">
        <v>0.81699999999999995</v>
      </c>
      <c r="DY27" s="30">
        <f t="shared" si="49"/>
        <v>-42.097802976612336</v>
      </c>
      <c r="DZ27" s="6">
        <v>4730787.28</v>
      </c>
      <c r="EA27" s="6">
        <v>1777923.81</v>
      </c>
      <c r="EB27" s="30">
        <f t="shared" si="50"/>
        <v>-62.418014068897222</v>
      </c>
      <c r="EC27" s="5">
        <v>2.94</v>
      </c>
      <c r="ED27" s="6">
        <v>0.72</v>
      </c>
      <c r="EE27" s="30">
        <f t="shared" si="51"/>
        <v>-75.510204081632651</v>
      </c>
      <c r="EF27" s="6">
        <f t="shared" si="16"/>
        <v>332.75121951219512</v>
      </c>
      <c r="EG27" s="6">
        <f t="shared" si="17"/>
        <v>232.23157894736843</v>
      </c>
      <c r="EH27" s="6">
        <v>58.39</v>
      </c>
      <c r="EI27" s="6">
        <v>45.7</v>
      </c>
      <c r="EJ27" s="30">
        <f t="shared" si="52"/>
        <v>-21.733173488611062</v>
      </c>
      <c r="EK27" s="6">
        <v>29.36</v>
      </c>
      <c r="EL27" s="6">
        <v>24.36</v>
      </c>
      <c r="EM27" s="30">
        <f t="shared" si="53"/>
        <v>-17.029972752043598</v>
      </c>
    </row>
    <row r="28" spans="1:143">
      <c r="A28" s="5">
        <v>80</v>
      </c>
      <c r="B28" s="6">
        <v>1</v>
      </c>
      <c r="C28" s="6">
        <v>1</v>
      </c>
      <c r="D28" s="6">
        <v>57</v>
      </c>
      <c r="E28" s="6">
        <v>2</v>
      </c>
      <c r="F28" s="6" t="s">
        <v>207</v>
      </c>
      <c r="G28" s="6">
        <v>2</v>
      </c>
      <c r="H28" s="6">
        <v>1</v>
      </c>
      <c r="I28" s="6">
        <v>119.3</v>
      </c>
      <c r="J28" s="6">
        <v>119.7</v>
      </c>
      <c r="K28" s="30">
        <f t="shared" si="18"/>
        <v>0.3352891869237265</v>
      </c>
      <c r="L28" s="6">
        <v>1.7</v>
      </c>
      <c r="M28" s="6">
        <v>1.7</v>
      </c>
      <c r="N28" s="6">
        <v>41.2</v>
      </c>
      <c r="O28" s="6">
        <v>41.4</v>
      </c>
      <c r="P28" s="30">
        <f t="shared" si="19"/>
        <v>0.48543689320387312</v>
      </c>
      <c r="Q28" s="6">
        <v>124</v>
      </c>
      <c r="R28" s="6">
        <v>123</v>
      </c>
      <c r="S28" s="30">
        <f t="shared" si="20"/>
        <v>-0.80645161290322576</v>
      </c>
      <c r="T28" s="6">
        <v>130</v>
      </c>
      <c r="U28" s="6">
        <v>127</v>
      </c>
      <c r="V28" s="30">
        <f t="shared" si="21"/>
        <v>-2.3076923076923079</v>
      </c>
      <c r="W28" s="6">
        <v>130</v>
      </c>
      <c r="X28" s="6">
        <v>123</v>
      </c>
      <c r="Y28" s="30">
        <f t="shared" si="22"/>
        <v>-5.384615384615385</v>
      </c>
      <c r="Z28" s="6">
        <v>120</v>
      </c>
      <c r="AA28" s="6">
        <v>115</v>
      </c>
      <c r="AB28" s="30">
        <f t="shared" si="23"/>
        <v>-4.1666666666666661</v>
      </c>
      <c r="AC28" s="6">
        <v>85</v>
      </c>
      <c r="AD28" s="6">
        <v>80</v>
      </c>
      <c r="AE28" s="30">
        <f t="shared" si="24"/>
        <v>-5.8823529411764701</v>
      </c>
      <c r="AF28" s="6">
        <v>35</v>
      </c>
      <c r="AG28" s="6">
        <v>38.200000000000003</v>
      </c>
      <c r="AH28" s="30">
        <f t="shared" si="25"/>
        <v>9.1428571428571512</v>
      </c>
      <c r="AI28" s="6">
        <v>298</v>
      </c>
      <c r="AJ28" s="6">
        <v>344</v>
      </c>
      <c r="AK28" s="30">
        <f t="shared" si="26"/>
        <v>15.436241610738255</v>
      </c>
      <c r="AL28" s="6">
        <v>47</v>
      </c>
      <c r="AM28" s="6">
        <v>48</v>
      </c>
      <c r="AN28" s="8">
        <v>103</v>
      </c>
      <c r="AO28" s="8">
        <v>97</v>
      </c>
      <c r="AP28" s="30">
        <f t="shared" si="27"/>
        <v>-5.825242718446602</v>
      </c>
      <c r="AQ28" s="8">
        <v>54</v>
      </c>
      <c r="AR28" s="8">
        <v>66</v>
      </c>
      <c r="AS28" s="30">
        <f t="shared" si="28"/>
        <v>22.222222222222221</v>
      </c>
      <c r="AT28" s="8">
        <v>1.1499999999999999</v>
      </c>
      <c r="AU28" s="8">
        <v>1.2</v>
      </c>
      <c r="AV28" s="30">
        <f t="shared" si="29"/>
        <v>4.3478260869565259</v>
      </c>
      <c r="AW28" s="8">
        <v>0.64</v>
      </c>
      <c r="AX28" s="8">
        <v>0.7</v>
      </c>
      <c r="AY28" s="30">
        <f t="shared" si="30"/>
        <v>9.3749999999999911</v>
      </c>
      <c r="AZ28" s="8">
        <v>0.15</v>
      </c>
      <c r="BA28" s="8">
        <v>0.13</v>
      </c>
      <c r="BB28" s="30">
        <f t="shared" si="31"/>
        <v>-13.333333333333327</v>
      </c>
      <c r="BC28" s="8">
        <f>AW28-AZ28</f>
        <v>0.49</v>
      </c>
      <c r="BD28" s="7">
        <f t="shared" si="32"/>
        <v>0.56999999999999995</v>
      </c>
      <c r="BE28" s="30">
        <f t="shared" si="33"/>
        <v>16.326530612244891</v>
      </c>
      <c r="BF28" s="8">
        <v>71</v>
      </c>
      <c r="BG28" s="8">
        <v>65</v>
      </c>
      <c r="BH28" s="8">
        <v>32</v>
      </c>
      <c r="BI28" s="8">
        <v>29</v>
      </c>
      <c r="BJ28" s="8">
        <v>63</v>
      </c>
      <c r="BK28" s="8">
        <v>49</v>
      </c>
      <c r="BL28" s="8">
        <v>6.5</v>
      </c>
      <c r="BM28" s="8">
        <v>7.6</v>
      </c>
      <c r="BN28" s="30">
        <f t="shared" si="34"/>
        <v>16.92307692307692</v>
      </c>
      <c r="BO28" s="8">
        <v>8.2899999999999991</v>
      </c>
      <c r="BP28" s="8">
        <v>7.71</v>
      </c>
      <c r="BQ28" s="30">
        <f t="shared" si="35"/>
        <v>-6.9963811821471555</v>
      </c>
      <c r="BR28" s="8">
        <v>4.4000000000000004</v>
      </c>
      <c r="BS28" s="8">
        <v>4.17</v>
      </c>
      <c r="BT28" s="30">
        <f t="shared" si="36"/>
        <v>-5.2272727272727364</v>
      </c>
      <c r="BU28" s="8">
        <f>BO28-BR28</f>
        <v>3.8899999999999988</v>
      </c>
      <c r="BV28" s="7">
        <f t="shared" si="55"/>
        <v>3.54</v>
      </c>
      <c r="BW28" s="30">
        <f t="shared" si="37"/>
        <v>-8.9974293059125667</v>
      </c>
      <c r="BX28" s="8">
        <v>159</v>
      </c>
      <c r="BY28" s="8">
        <v>247</v>
      </c>
      <c r="BZ28" s="30">
        <f t="shared" si="38"/>
        <v>55.345911949685537</v>
      </c>
      <c r="CA28" s="8">
        <v>38</v>
      </c>
      <c r="CB28" s="8">
        <v>36</v>
      </c>
      <c r="CC28" s="30">
        <f t="shared" si="39"/>
        <v>-5.2631578947368416</v>
      </c>
      <c r="CD28" s="8">
        <f t="shared" si="2"/>
        <v>101.8</v>
      </c>
      <c r="CE28" s="7">
        <f t="shared" si="3"/>
        <v>176.6</v>
      </c>
      <c r="CF28" s="30">
        <f t="shared" si="40"/>
        <v>73.477406679764243</v>
      </c>
      <c r="CG28" s="8">
        <v>96</v>
      </c>
      <c r="CH28" s="8">
        <v>172</v>
      </c>
      <c r="CI28" s="30">
        <f t="shared" si="41"/>
        <v>79.166666666666657</v>
      </c>
      <c r="CJ28" s="8">
        <v>3</v>
      </c>
      <c r="CK28" s="8">
        <v>2.4</v>
      </c>
      <c r="CL28" s="30">
        <f t="shared" si="42"/>
        <v>-20.000000000000004</v>
      </c>
      <c r="CM28" s="8">
        <v>15.9</v>
      </c>
      <c r="CN28" s="8">
        <v>11.6</v>
      </c>
      <c r="CO28" s="30">
        <f t="shared" si="43"/>
        <v>-27.04402515723271</v>
      </c>
      <c r="CP28" s="8">
        <v>30.4</v>
      </c>
      <c r="CQ28" s="8">
        <v>43.1</v>
      </c>
      <c r="CR28" s="8">
        <v>80.2</v>
      </c>
      <c r="CS28" s="8">
        <v>106.2</v>
      </c>
      <c r="CT28" s="7">
        <f t="shared" si="4"/>
        <v>4.0738805970149254</v>
      </c>
      <c r="CU28" s="7">
        <f t="shared" si="5"/>
        <v>2.7990049751243782</v>
      </c>
      <c r="CV28" s="30">
        <f t="shared" si="44"/>
        <v>-31.293887769432736</v>
      </c>
      <c r="CW28" s="6">
        <f t="shared" si="6"/>
        <v>1.65625</v>
      </c>
      <c r="CX28" s="6">
        <f t="shared" si="7"/>
        <v>1.4360465116279071</v>
      </c>
      <c r="CY28" s="6">
        <f t="shared" si="8"/>
        <v>1.0604166666666666</v>
      </c>
      <c r="CZ28" s="6">
        <f t="shared" si="9"/>
        <v>1.0267441860465116</v>
      </c>
      <c r="DA28" s="6">
        <f t="shared" si="10"/>
        <v>4.1842105263157894</v>
      </c>
      <c r="DB28" s="6">
        <f t="shared" si="11"/>
        <v>6.8611111111111107</v>
      </c>
      <c r="DC28" s="6">
        <f t="shared" si="12"/>
        <v>2.6789473684210527</v>
      </c>
      <c r="DD28" s="6">
        <f t="shared" si="13"/>
        <v>4.905555555555555</v>
      </c>
      <c r="DE28" s="6">
        <f t="shared" si="14"/>
        <v>121</v>
      </c>
      <c r="DF28" s="6">
        <f t="shared" si="15"/>
        <v>211</v>
      </c>
      <c r="DG28" s="6">
        <v>41.4</v>
      </c>
      <c r="DH28" s="6">
        <v>41.3</v>
      </c>
      <c r="DI28" s="6">
        <v>453.41</v>
      </c>
      <c r="DJ28" s="6">
        <v>374.77</v>
      </c>
      <c r="DK28" s="6">
        <v>76.45</v>
      </c>
      <c r="DL28" s="6">
        <v>120.77</v>
      </c>
      <c r="DM28" s="30">
        <f t="shared" si="45"/>
        <v>57.972531066056234</v>
      </c>
      <c r="DN28" s="6">
        <v>810.31</v>
      </c>
      <c r="DO28" s="6">
        <v>1077.76</v>
      </c>
      <c r="DP28" s="30">
        <f t="shared" si="46"/>
        <v>33.005886635978833</v>
      </c>
      <c r="DQ28" s="6">
        <v>7.08</v>
      </c>
      <c r="DR28" s="6">
        <v>8.17</v>
      </c>
      <c r="DS28" s="30">
        <f t="shared" si="47"/>
        <v>15.395480225988697</v>
      </c>
      <c r="DT28" s="7">
        <v>411.57</v>
      </c>
      <c r="DU28" s="7">
        <v>472.34</v>
      </c>
      <c r="DV28" s="30">
        <f t="shared" si="48"/>
        <v>14.765410501251303</v>
      </c>
      <c r="DW28" s="6">
        <v>0.41599999999999998</v>
      </c>
      <c r="DX28" s="6">
        <v>0.92700000000000005</v>
      </c>
      <c r="DY28" s="30">
        <f t="shared" si="49"/>
        <v>122.83653846153851</v>
      </c>
      <c r="DZ28" s="6">
        <v>1576866.4</v>
      </c>
      <c r="EA28" s="6">
        <v>1139354.68</v>
      </c>
      <c r="EB28" s="30">
        <f t="shared" si="50"/>
        <v>-27.745642877544984</v>
      </c>
      <c r="EC28" s="5">
        <v>5.16</v>
      </c>
      <c r="ED28" s="6">
        <v>3.45</v>
      </c>
      <c r="EE28" s="30">
        <f t="shared" si="51"/>
        <v>-33.139534883720927</v>
      </c>
      <c r="EF28" s="6">
        <f t="shared" si="16"/>
        <v>124.66307692307691</v>
      </c>
      <c r="EG28" s="6">
        <f t="shared" si="17"/>
        <v>141.81052631578947</v>
      </c>
      <c r="EH28" s="6">
        <v>42.43</v>
      </c>
      <c r="EI28" s="6">
        <v>46.47</v>
      </c>
      <c r="EJ28" s="30">
        <f t="shared" si="52"/>
        <v>9.5215649304737191</v>
      </c>
      <c r="EK28" s="6">
        <v>69.06</v>
      </c>
      <c r="EL28" s="6">
        <v>17.91</v>
      </c>
      <c r="EM28" s="30">
        <f t="shared" si="53"/>
        <v>-74.066029539530859</v>
      </c>
    </row>
    <row r="29" spans="1:143">
      <c r="A29" s="5">
        <v>81</v>
      </c>
      <c r="B29" s="6">
        <v>1</v>
      </c>
      <c r="C29" s="6">
        <v>1</v>
      </c>
      <c r="D29" s="6">
        <v>58</v>
      </c>
      <c r="E29" s="6">
        <v>1</v>
      </c>
      <c r="F29" s="6" t="s">
        <v>208</v>
      </c>
      <c r="G29" s="6">
        <v>1</v>
      </c>
      <c r="H29" s="6">
        <v>1</v>
      </c>
      <c r="I29" s="6">
        <v>72.400000000000006</v>
      </c>
      <c r="J29" s="6">
        <v>72.7</v>
      </c>
      <c r="K29" s="30">
        <f t="shared" si="18"/>
        <v>0.41436464088397396</v>
      </c>
      <c r="L29" s="6">
        <v>1.5</v>
      </c>
      <c r="M29" s="6">
        <v>1.5</v>
      </c>
      <c r="N29" s="6">
        <v>32.17</v>
      </c>
      <c r="O29" s="6">
        <v>32.31</v>
      </c>
      <c r="P29" s="30">
        <f t="shared" si="19"/>
        <v>0.43518806341311955</v>
      </c>
      <c r="Q29" s="6">
        <v>88</v>
      </c>
      <c r="R29" s="6">
        <v>89.5</v>
      </c>
      <c r="S29" s="30">
        <f t="shared" si="20"/>
        <v>1.7045454545454544</v>
      </c>
      <c r="T29" s="6">
        <v>97</v>
      </c>
      <c r="U29" s="6">
        <v>96</v>
      </c>
      <c r="V29" s="30">
        <f t="shared" si="21"/>
        <v>-1.0309278350515463</v>
      </c>
      <c r="W29" s="6">
        <v>103</v>
      </c>
      <c r="X29" s="6">
        <v>104.5</v>
      </c>
      <c r="Y29" s="30">
        <f t="shared" si="22"/>
        <v>1.4563106796116505</v>
      </c>
      <c r="Z29" s="6">
        <v>135</v>
      </c>
      <c r="AA29" s="6">
        <v>130</v>
      </c>
      <c r="AB29" s="30">
        <f t="shared" si="23"/>
        <v>-3.7037037037037033</v>
      </c>
      <c r="AC29" s="6">
        <v>85</v>
      </c>
      <c r="AD29" s="6">
        <v>90</v>
      </c>
      <c r="AE29" s="30">
        <f t="shared" si="24"/>
        <v>5.8823529411764701</v>
      </c>
      <c r="AF29" s="6">
        <v>26.7</v>
      </c>
      <c r="AG29" s="6">
        <v>28.9</v>
      </c>
      <c r="AH29" s="30">
        <f t="shared" si="25"/>
        <v>8.2397003745318322</v>
      </c>
      <c r="AI29" s="6">
        <v>398</v>
      </c>
      <c r="AJ29" s="6">
        <v>452</v>
      </c>
      <c r="AK29" s="30">
        <f t="shared" si="26"/>
        <v>13.5678391959799</v>
      </c>
      <c r="AL29" s="6">
        <v>42</v>
      </c>
      <c r="AM29" s="6">
        <v>44</v>
      </c>
      <c r="AN29" s="7">
        <v>186</v>
      </c>
      <c r="AO29" s="8">
        <v>169</v>
      </c>
      <c r="AP29" s="30">
        <f t="shared" si="27"/>
        <v>-9.1397849462365599</v>
      </c>
      <c r="AQ29" s="7">
        <v>37</v>
      </c>
      <c r="AR29" s="8">
        <v>32</v>
      </c>
      <c r="AS29" s="30">
        <f t="shared" si="28"/>
        <v>-13.513513513513514</v>
      </c>
      <c r="AT29" s="7">
        <v>0.75</v>
      </c>
      <c r="AU29" s="11">
        <v>0.79</v>
      </c>
      <c r="AV29" s="30">
        <f t="shared" si="29"/>
        <v>5.3333333333333375</v>
      </c>
      <c r="AW29" s="7">
        <v>0.54</v>
      </c>
      <c r="AX29" s="11">
        <v>0.35</v>
      </c>
      <c r="AY29" s="30">
        <f t="shared" si="30"/>
        <v>-35.18518518518519</v>
      </c>
      <c r="AZ29" s="7">
        <v>0.13</v>
      </c>
      <c r="BA29" s="11">
        <v>0.11</v>
      </c>
      <c r="BB29" s="30">
        <f t="shared" si="31"/>
        <v>-15.384615384615389</v>
      </c>
      <c r="BC29" s="7">
        <f t="shared" si="54"/>
        <v>0.41000000000000003</v>
      </c>
      <c r="BD29" s="7">
        <f t="shared" si="32"/>
        <v>0.24</v>
      </c>
      <c r="BE29" s="30">
        <f t="shared" si="33"/>
        <v>-41.463414634146353</v>
      </c>
      <c r="BF29" s="7">
        <v>47</v>
      </c>
      <c r="BG29" s="8">
        <v>47</v>
      </c>
      <c r="BH29" s="7">
        <v>17</v>
      </c>
      <c r="BI29" s="8">
        <v>16</v>
      </c>
      <c r="BJ29" s="7">
        <v>32</v>
      </c>
      <c r="BK29" s="8">
        <v>31</v>
      </c>
      <c r="BL29" s="7">
        <v>4.4000000000000004</v>
      </c>
      <c r="BM29" s="9">
        <v>4.3</v>
      </c>
      <c r="BN29" s="30">
        <f t="shared" si="34"/>
        <v>-2.2727272727272845</v>
      </c>
      <c r="BO29" s="7">
        <v>7.05</v>
      </c>
      <c r="BP29" s="11">
        <v>6.77</v>
      </c>
      <c r="BQ29" s="30">
        <f t="shared" si="35"/>
        <v>-3.9716312056737624</v>
      </c>
      <c r="BR29" s="7">
        <v>3.67</v>
      </c>
      <c r="BS29" s="11">
        <v>3.47</v>
      </c>
      <c r="BT29" s="30">
        <f t="shared" si="36"/>
        <v>-5.4495912806539444</v>
      </c>
      <c r="BU29" s="7">
        <f t="shared" si="56"/>
        <v>3.38</v>
      </c>
      <c r="BV29" s="7">
        <f t="shared" si="55"/>
        <v>3.2999999999999994</v>
      </c>
      <c r="BW29" s="30">
        <f t="shared" si="37"/>
        <v>-2.366863905325459</v>
      </c>
      <c r="BX29" s="7">
        <v>140</v>
      </c>
      <c r="BY29" s="8">
        <v>146</v>
      </c>
      <c r="BZ29" s="30">
        <f t="shared" si="38"/>
        <v>4.2857142857142856</v>
      </c>
      <c r="CA29" s="7">
        <v>40</v>
      </c>
      <c r="CB29" s="8">
        <v>29</v>
      </c>
      <c r="CC29" s="30">
        <f t="shared" si="39"/>
        <v>-27.500000000000004</v>
      </c>
      <c r="CD29" s="7">
        <f t="shared" si="2"/>
        <v>74.599999999999994</v>
      </c>
      <c r="CE29" s="7">
        <f t="shared" si="3"/>
        <v>41.400000000000006</v>
      </c>
      <c r="CF29" s="30">
        <f t="shared" si="40"/>
        <v>-44.504021447721172</v>
      </c>
      <c r="CG29" s="7">
        <v>127</v>
      </c>
      <c r="CH29" s="8">
        <v>378</v>
      </c>
      <c r="CI29" s="30">
        <f t="shared" si="41"/>
        <v>197.63779527559055</v>
      </c>
      <c r="CJ29" s="7">
        <v>4.2</v>
      </c>
      <c r="CK29" s="9">
        <v>3.4</v>
      </c>
      <c r="CL29" s="30">
        <f t="shared" si="42"/>
        <v>-19.047619047619051</v>
      </c>
      <c r="CM29" s="7">
        <v>12.8</v>
      </c>
      <c r="CN29" s="8">
        <v>19.399999999999999</v>
      </c>
      <c r="CO29" s="30">
        <f t="shared" si="43"/>
        <v>51.562499999999979</v>
      </c>
      <c r="CP29" s="7">
        <v>29.5</v>
      </c>
      <c r="CQ29" s="8">
        <v>32.700000000000003</v>
      </c>
      <c r="CR29" s="7">
        <v>103.2</v>
      </c>
      <c r="CS29" s="8">
        <v>106.2</v>
      </c>
      <c r="CT29" s="7">
        <f t="shared" si="4"/>
        <v>5.9223880597014933</v>
      </c>
      <c r="CU29" s="7">
        <f t="shared" si="5"/>
        <v>8.1557213930348258</v>
      </c>
      <c r="CV29" s="30">
        <f t="shared" si="44"/>
        <v>37.710013440860195</v>
      </c>
      <c r="CW29" s="6">
        <f t="shared" si="6"/>
        <v>1.1023622047244095</v>
      </c>
      <c r="CX29" s="6">
        <f t="shared" si="7"/>
        <v>0.38624338624338622</v>
      </c>
      <c r="CY29" s="6">
        <f t="shared" si="8"/>
        <v>0.58740157480314958</v>
      </c>
      <c r="CZ29" s="6">
        <f t="shared" si="9"/>
        <v>0.10952380952380954</v>
      </c>
      <c r="DA29" s="6">
        <f t="shared" si="10"/>
        <v>3.5</v>
      </c>
      <c r="DB29" s="6">
        <f t="shared" si="11"/>
        <v>5.0344827586206895</v>
      </c>
      <c r="DC29" s="6">
        <f t="shared" si="12"/>
        <v>1.8649999999999998</v>
      </c>
      <c r="DD29" s="6">
        <f t="shared" si="13"/>
        <v>1.4275862068965519</v>
      </c>
      <c r="DE29" s="6">
        <f t="shared" si="14"/>
        <v>100</v>
      </c>
      <c r="DF29" s="6">
        <f t="shared" si="15"/>
        <v>117</v>
      </c>
      <c r="DG29" s="6">
        <v>25.6</v>
      </c>
      <c r="DH29" s="6">
        <v>25.4</v>
      </c>
      <c r="DI29" s="6">
        <v>297.44</v>
      </c>
      <c r="DJ29" s="6"/>
      <c r="DK29" s="6">
        <v>87.01</v>
      </c>
      <c r="DL29" s="6">
        <v>163.34</v>
      </c>
      <c r="DM29" s="30">
        <f t="shared" si="45"/>
        <v>87.725548787495683</v>
      </c>
      <c r="DN29" s="6">
        <v>1106.94</v>
      </c>
      <c r="DO29" s="6">
        <v>953.05</v>
      </c>
      <c r="DP29" s="30">
        <f t="shared" si="46"/>
        <v>-13.902289193632905</v>
      </c>
      <c r="DQ29" s="6">
        <v>8.4700000000000006</v>
      </c>
      <c r="DR29" s="6"/>
      <c r="DS29" s="30">
        <f t="shared" si="47"/>
        <v>-100</v>
      </c>
      <c r="DT29" s="7">
        <v>432.59</v>
      </c>
      <c r="DU29" s="7">
        <v>564.32000000000005</v>
      </c>
      <c r="DV29" s="30">
        <f t="shared" si="48"/>
        <v>30.451466746804151</v>
      </c>
      <c r="DW29" s="6">
        <v>0.443</v>
      </c>
      <c r="DX29" s="6">
        <v>0.499</v>
      </c>
      <c r="DY29" s="30">
        <f t="shared" si="49"/>
        <v>12.641083521444694</v>
      </c>
      <c r="DZ29" s="6">
        <v>1265649.8600000001</v>
      </c>
      <c r="EA29" s="6">
        <v>1680674.92</v>
      </c>
      <c r="EB29" s="30">
        <f t="shared" si="50"/>
        <v>32.791459400943623</v>
      </c>
      <c r="EC29" s="5">
        <v>3.96</v>
      </c>
      <c r="ED29" s="6">
        <v>1.06</v>
      </c>
      <c r="EE29" s="30">
        <f t="shared" si="51"/>
        <v>-73.232323232323225</v>
      </c>
      <c r="EF29" s="6">
        <f t="shared" si="16"/>
        <v>251.57727272727271</v>
      </c>
      <c r="EG29" s="6">
        <f t="shared" si="17"/>
        <v>221.63953488372093</v>
      </c>
      <c r="EH29" s="6">
        <v>40.520000000000003</v>
      </c>
      <c r="EI29" s="6">
        <v>49.99</v>
      </c>
      <c r="EJ29" s="30">
        <f t="shared" si="52"/>
        <v>23.371174728529116</v>
      </c>
      <c r="EK29" s="6">
        <v>54.47</v>
      </c>
      <c r="EL29" s="6">
        <v>74.040000000000006</v>
      </c>
      <c r="EM29" s="30">
        <f t="shared" si="53"/>
        <v>35.928033780062435</v>
      </c>
    </row>
    <row r="30" spans="1:143">
      <c r="A30" s="5">
        <v>90</v>
      </c>
      <c r="B30" s="6">
        <v>1</v>
      </c>
      <c r="C30" s="6">
        <v>1</v>
      </c>
      <c r="D30" s="6">
        <v>42</v>
      </c>
      <c r="E30" s="6">
        <v>2</v>
      </c>
      <c r="F30" s="6" t="s">
        <v>156</v>
      </c>
      <c r="G30" s="6">
        <v>2</v>
      </c>
      <c r="H30" s="6">
        <v>1</v>
      </c>
      <c r="I30" s="6">
        <v>76.599999999999994</v>
      </c>
      <c r="J30" s="6">
        <v>75.099999999999994</v>
      </c>
      <c r="K30" s="30">
        <f t="shared" si="18"/>
        <v>-1.95822454308094</v>
      </c>
      <c r="L30" s="6">
        <v>1.69</v>
      </c>
      <c r="M30" s="6">
        <v>1.69</v>
      </c>
      <c r="N30" s="6">
        <v>26.81</v>
      </c>
      <c r="O30" s="6">
        <v>26.26</v>
      </c>
      <c r="P30" s="30">
        <f t="shared" si="19"/>
        <v>-2.0514733308466884</v>
      </c>
      <c r="Q30" s="6">
        <v>89</v>
      </c>
      <c r="R30" s="6">
        <v>87</v>
      </c>
      <c r="S30" s="30">
        <f t="shared" si="20"/>
        <v>-2.2471910112359552</v>
      </c>
      <c r="T30" s="6">
        <v>92</v>
      </c>
      <c r="U30" s="6">
        <v>91.5</v>
      </c>
      <c r="V30" s="30">
        <f t="shared" si="21"/>
        <v>-0.54347826086956519</v>
      </c>
      <c r="W30" s="6">
        <v>102.5</v>
      </c>
      <c r="X30" s="6">
        <v>100</v>
      </c>
      <c r="Y30" s="30">
        <f t="shared" si="22"/>
        <v>-2.4390243902439024</v>
      </c>
      <c r="Z30" s="6">
        <v>130</v>
      </c>
      <c r="AA30" s="6">
        <v>130</v>
      </c>
      <c r="AB30" s="30">
        <f t="shared" si="23"/>
        <v>0</v>
      </c>
      <c r="AC30" s="6">
        <v>90</v>
      </c>
      <c r="AD30" s="6">
        <v>90</v>
      </c>
      <c r="AE30" s="30">
        <f t="shared" si="24"/>
        <v>0</v>
      </c>
      <c r="AF30" s="6">
        <v>24.7</v>
      </c>
      <c r="AG30" s="6">
        <v>19.600000000000001</v>
      </c>
      <c r="AH30" s="30">
        <f t="shared" si="25"/>
        <v>-20.647773279352219</v>
      </c>
      <c r="AI30" s="6">
        <v>444</v>
      </c>
      <c r="AJ30" s="6">
        <v>380</v>
      </c>
      <c r="AK30" s="30">
        <f t="shared" si="26"/>
        <v>-14.414414414414415</v>
      </c>
      <c r="AL30" s="6">
        <v>32</v>
      </c>
      <c r="AM30" s="6">
        <v>30</v>
      </c>
      <c r="AN30" s="7">
        <v>91</v>
      </c>
      <c r="AO30" s="8">
        <v>88</v>
      </c>
      <c r="AP30" s="30">
        <f t="shared" si="27"/>
        <v>-3.296703296703297</v>
      </c>
      <c r="AQ30" s="7">
        <v>33</v>
      </c>
      <c r="AR30" s="8">
        <v>38</v>
      </c>
      <c r="AS30" s="30">
        <f t="shared" si="28"/>
        <v>15.151515151515152</v>
      </c>
      <c r="AT30" s="7">
        <v>1.02</v>
      </c>
      <c r="AU30" s="11">
        <v>1.03</v>
      </c>
      <c r="AV30" s="30">
        <f t="shared" si="29"/>
        <v>0.98039215686274594</v>
      </c>
      <c r="AW30" s="7">
        <v>0.64</v>
      </c>
      <c r="AX30" s="11">
        <v>0.57999999999999996</v>
      </c>
      <c r="AY30" s="30">
        <f t="shared" si="30"/>
        <v>-9.3750000000000089</v>
      </c>
      <c r="AZ30" s="7">
        <v>0.13</v>
      </c>
      <c r="BA30" s="11">
        <v>0.14000000000000001</v>
      </c>
      <c r="BB30" s="30">
        <f t="shared" si="31"/>
        <v>7.6923076923076987</v>
      </c>
      <c r="BC30" s="7">
        <f t="shared" si="54"/>
        <v>0.51</v>
      </c>
      <c r="BD30" s="7">
        <f t="shared" si="32"/>
        <v>0.43999999999999995</v>
      </c>
      <c r="BE30" s="30">
        <f t="shared" si="33"/>
        <v>-13.725490196078443</v>
      </c>
      <c r="BF30" s="7">
        <v>47</v>
      </c>
      <c r="BG30" s="8">
        <v>34</v>
      </c>
      <c r="BH30" s="7">
        <v>23</v>
      </c>
      <c r="BI30" s="8">
        <v>20</v>
      </c>
      <c r="BJ30" s="7">
        <v>61</v>
      </c>
      <c r="BK30" s="8">
        <v>31</v>
      </c>
      <c r="BL30" s="7">
        <v>6.4</v>
      </c>
      <c r="BM30" s="9">
        <v>6.3</v>
      </c>
      <c r="BN30" s="30">
        <f t="shared" si="34"/>
        <v>-1.5625000000000084</v>
      </c>
      <c r="BO30" s="7">
        <v>7.19</v>
      </c>
      <c r="BP30" s="11">
        <v>6.8</v>
      </c>
      <c r="BQ30" s="30">
        <f t="shared" si="35"/>
        <v>-5.4242002781641245</v>
      </c>
      <c r="BR30" s="7">
        <v>3.93</v>
      </c>
      <c r="BS30" s="11">
        <v>3.9</v>
      </c>
      <c r="BT30" s="30">
        <f t="shared" si="36"/>
        <v>-0.76335877862596047</v>
      </c>
      <c r="BU30" s="7">
        <f t="shared" si="56"/>
        <v>3.2600000000000002</v>
      </c>
      <c r="BV30" s="7">
        <f t="shared" si="55"/>
        <v>2.9</v>
      </c>
      <c r="BW30" s="30">
        <f t="shared" si="37"/>
        <v>-11.042944785276083</v>
      </c>
      <c r="BX30" s="7">
        <v>198</v>
      </c>
      <c r="BY30" s="8">
        <v>163</v>
      </c>
      <c r="BZ30" s="30">
        <f t="shared" si="38"/>
        <v>-17.676767676767678</v>
      </c>
      <c r="CA30" s="7">
        <v>44</v>
      </c>
      <c r="CB30" s="8">
        <v>42</v>
      </c>
      <c r="CC30" s="30">
        <f t="shared" si="39"/>
        <v>-4.5454545454545459</v>
      </c>
      <c r="CD30" s="7">
        <f t="shared" si="2"/>
        <v>135.4</v>
      </c>
      <c r="CE30" s="7">
        <f t="shared" si="3"/>
        <v>102.6</v>
      </c>
      <c r="CF30" s="30">
        <f t="shared" si="40"/>
        <v>-24.224519940915812</v>
      </c>
      <c r="CG30" s="7">
        <v>93</v>
      </c>
      <c r="CH30" s="8">
        <v>92</v>
      </c>
      <c r="CI30" s="30">
        <f t="shared" si="41"/>
        <v>-1.0752688172043012</v>
      </c>
      <c r="CJ30" s="7">
        <v>1.2</v>
      </c>
      <c r="CK30" s="9">
        <v>1.1000000000000001</v>
      </c>
      <c r="CL30" s="30">
        <f t="shared" si="42"/>
        <v>-8.3333333333333233</v>
      </c>
      <c r="CM30" s="7">
        <v>10.4</v>
      </c>
      <c r="CN30" s="8">
        <v>6.9</v>
      </c>
      <c r="CO30" s="30">
        <f t="shared" si="43"/>
        <v>-33.653846153846153</v>
      </c>
      <c r="CP30" s="7">
        <v>28.7</v>
      </c>
      <c r="CQ30" s="8">
        <v>36.6</v>
      </c>
      <c r="CR30" s="7">
        <v>44.1</v>
      </c>
      <c r="CS30" s="8">
        <v>52</v>
      </c>
      <c r="CT30" s="7">
        <f t="shared" si="4"/>
        <v>2.3542288557213928</v>
      </c>
      <c r="CU30" s="7">
        <f t="shared" si="5"/>
        <v>1.5104477611940299</v>
      </c>
      <c r="CV30" s="30">
        <f t="shared" si="44"/>
        <v>-35.841081994928139</v>
      </c>
      <c r="CW30" s="6">
        <f t="shared" si="6"/>
        <v>2.129032258064516</v>
      </c>
      <c r="CX30" s="6">
        <f t="shared" si="7"/>
        <v>1.7717391304347827</v>
      </c>
      <c r="CY30" s="6">
        <f t="shared" si="8"/>
        <v>1.4559139784946238</v>
      </c>
      <c r="CZ30" s="6">
        <f t="shared" si="9"/>
        <v>1.1152173913043477</v>
      </c>
      <c r="DA30" s="6">
        <f t="shared" si="10"/>
        <v>4.5</v>
      </c>
      <c r="DB30" s="6">
        <f t="shared" si="11"/>
        <v>3.8809523809523809</v>
      </c>
      <c r="DC30" s="6">
        <f t="shared" si="12"/>
        <v>3.0772727272727276</v>
      </c>
      <c r="DD30" s="6">
        <f t="shared" si="13"/>
        <v>2.4428571428571426</v>
      </c>
      <c r="DE30" s="6">
        <f t="shared" si="14"/>
        <v>154</v>
      </c>
      <c r="DF30" s="6">
        <f t="shared" si="15"/>
        <v>121</v>
      </c>
      <c r="DG30" s="6">
        <v>47.2</v>
      </c>
      <c r="DH30" s="6">
        <v>40.700000000000003</v>
      </c>
      <c r="DI30" s="6">
        <v>313.36</v>
      </c>
      <c r="DJ30" s="6">
        <v>358.63</v>
      </c>
      <c r="DK30" s="6">
        <v>65.3</v>
      </c>
      <c r="DL30" s="6">
        <v>62.49</v>
      </c>
      <c r="DM30" s="30">
        <f t="shared" si="45"/>
        <v>-4.3032159264931016</v>
      </c>
      <c r="DN30" s="6">
        <v>1215.29</v>
      </c>
      <c r="DO30" s="6">
        <v>1000.97</v>
      </c>
      <c r="DP30" s="30">
        <f t="shared" si="46"/>
        <v>-17.635296925013776</v>
      </c>
      <c r="DQ30" s="6">
        <v>6.3</v>
      </c>
      <c r="DR30" s="6">
        <v>4.5999999999999996</v>
      </c>
      <c r="DS30" s="30">
        <f t="shared" si="47"/>
        <v>-26.984126984126988</v>
      </c>
      <c r="DT30" s="7">
        <v>515.55999999999995</v>
      </c>
      <c r="DU30" s="7">
        <v>617.69000000000005</v>
      </c>
      <c r="DV30" s="30">
        <f t="shared" si="48"/>
        <v>19.809527504073262</v>
      </c>
      <c r="DW30" s="6">
        <v>0.35399999999999998</v>
      </c>
      <c r="DX30" s="6">
        <v>0.53500000000000003</v>
      </c>
      <c r="DY30" s="30">
        <f t="shared" si="49"/>
        <v>51.129943502824872</v>
      </c>
      <c r="DZ30" s="6">
        <v>845401.53</v>
      </c>
      <c r="EA30" s="6">
        <v>784072.14</v>
      </c>
      <c r="EB30" s="30">
        <f t="shared" si="50"/>
        <v>-7.2544687729628325</v>
      </c>
      <c r="EC30" s="5">
        <v>0.55000000000000004</v>
      </c>
      <c r="ED30" s="6">
        <v>0.72</v>
      </c>
      <c r="EE30" s="30">
        <f t="shared" si="51"/>
        <v>30.909090909090892</v>
      </c>
      <c r="EF30" s="6">
        <f t="shared" si="16"/>
        <v>189.88906249999999</v>
      </c>
      <c r="EG30" s="6">
        <f t="shared" si="17"/>
        <v>158.88412698412699</v>
      </c>
      <c r="EH30" s="6">
        <v>36.72</v>
      </c>
      <c r="EI30" s="6">
        <v>42.22</v>
      </c>
      <c r="EJ30" s="30">
        <f t="shared" si="52"/>
        <v>14.978213507625274</v>
      </c>
      <c r="EK30" s="6">
        <v>53.74</v>
      </c>
      <c r="EL30" s="6">
        <v>53.74</v>
      </c>
      <c r="EM30" s="30">
        <f t="shared" si="53"/>
        <v>0</v>
      </c>
    </row>
    <row r="31" spans="1:143">
      <c r="A31" s="5">
        <v>100</v>
      </c>
      <c r="B31" s="6">
        <v>1</v>
      </c>
      <c r="C31" s="6">
        <v>1</v>
      </c>
      <c r="D31" s="6">
        <v>49</v>
      </c>
      <c r="E31" s="6">
        <v>2</v>
      </c>
      <c r="F31" s="6" t="s">
        <v>209</v>
      </c>
      <c r="G31" s="6">
        <v>2</v>
      </c>
      <c r="H31" s="6">
        <v>1</v>
      </c>
      <c r="I31" s="6">
        <v>104.1</v>
      </c>
      <c r="J31" s="6">
        <v>102.5</v>
      </c>
      <c r="K31" s="30">
        <f t="shared" si="18"/>
        <v>-1.5369836695485057</v>
      </c>
      <c r="L31" s="6">
        <v>1.79</v>
      </c>
      <c r="M31" s="6">
        <v>1.79</v>
      </c>
      <c r="N31" s="6">
        <v>32.53</v>
      </c>
      <c r="O31" s="6">
        <v>32.03</v>
      </c>
      <c r="P31" s="30">
        <f t="shared" si="19"/>
        <v>-1.5370427297878879</v>
      </c>
      <c r="Q31" s="6">
        <v>102</v>
      </c>
      <c r="R31" s="6">
        <v>106</v>
      </c>
      <c r="S31" s="30">
        <f t="shared" si="20"/>
        <v>3.9215686274509802</v>
      </c>
      <c r="T31" s="6">
        <v>105</v>
      </c>
      <c r="U31" s="6">
        <v>106</v>
      </c>
      <c r="V31" s="30">
        <f t="shared" si="21"/>
        <v>0.95238095238095244</v>
      </c>
      <c r="W31" s="6">
        <v>95</v>
      </c>
      <c r="X31" s="6">
        <v>105</v>
      </c>
      <c r="Y31" s="30">
        <f t="shared" si="22"/>
        <v>10.526315789473683</v>
      </c>
      <c r="Z31" s="6">
        <v>125</v>
      </c>
      <c r="AA31" s="6">
        <v>130</v>
      </c>
      <c r="AB31" s="30">
        <f t="shared" si="23"/>
        <v>4</v>
      </c>
      <c r="AC31" s="6">
        <v>85</v>
      </c>
      <c r="AD31" s="6">
        <v>90</v>
      </c>
      <c r="AE31" s="30">
        <f t="shared" si="24"/>
        <v>5.8823529411764701</v>
      </c>
      <c r="AF31" s="6">
        <v>28.1</v>
      </c>
      <c r="AG31" s="6">
        <v>28</v>
      </c>
      <c r="AH31" s="30">
        <f t="shared" si="25"/>
        <v>-0.35587188612100151</v>
      </c>
      <c r="AI31" s="6">
        <v>253</v>
      </c>
      <c r="AJ31" s="6">
        <v>361</v>
      </c>
      <c r="AK31" s="30">
        <f t="shared" si="26"/>
        <v>42.687747035573118</v>
      </c>
      <c r="AL31" s="6">
        <v>40</v>
      </c>
      <c r="AM31" s="6">
        <v>41</v>
      </c>
      <c r="AN31" s="7">
        <v>146</v>
      </c>
      <c r="AO31" s="8">
        <v>246</v>
      </c>
      <c r="AP31" s="30">
        <f t="shared" si="27"/>
        <v>68.493150684931507</v>
      </c>
      <c r="AQ31" s="7">
        <v>49</v>
      </c>
      <c r="AR31" s="8">
        <v>42</v>
      </c>
      <c r="AS31" s="30">
        <f t="shared" si="28"/>
        <v>-14.285714285714285</v>
      </c>
      <c r="AT31" s="7">
        <v>0.91</v>
      </c>
      <c r="AU31" s="11">
        <v>0.88</v>
      </c>
      <c r="AV31" s="30">
        <f t="shared" si="29"/>
        <v>-3.2967032967032996</v>
      </c>
      <c r="AW31" s="7">
        <v>0.86</v>
      </c>
      <c r="AX31" s="11">
        <v>0.56999999999999995</v>
      </c>
      <c r="AY31" s="30">
        <f t="shared" si="30"/>
        <v>-33.720930232558146</v>
      </c>
      <c r="AZ31" s="7">
        <v>0.15</v>
      </c>
      <c r="BA31" s="11">
        <v>0.12</v>
      </c>
      <c r="BB31" s="30">
        <f t="shared" si="31"/>
        <v>-20</v>
      </c>
      <c r="BC31" s="7">
        <f t="shared" si="54"/>
        <v>0.71</v>
      </c>
      <c r="BD31" s="7">
        <f t="shared" si="32"/>
        <v>0.44999999999999996</v>
      </c>
      <c r="BE31" s="30">
        <f t="shared" si="33"/>
        <v>-36.619718309859159</v>
      </c>
      <c r="BF31" s="7">
        <v>59</v>
      </c>
      <c r="BG31" s="8">
        <v>79</v>
      </c>
      <c r="BH31" s="7">
        <v>21</v>
      </c>
      <c r="BI31" s="8">
        <v>21</v>
      </c>
      <c r="BJ31" s="7">
        <v>39</v>
      </c>
      <c r="BK31" s="8">
        <v>36</v>
      </c>
      <c r="BL31" s="7">
        <v>5.4</v>
      </c>
      <c r="BM31" s="9">
        <v>4.3</v>
      </c>
      <c r="BN31" s="30">
        <f t="shared" si="34"/>
        <v>-20.370370370370377</v>
      </c>
      <c r="BO31" s="7">
        <v>7.5</v>
      </c>
      <c r="BP31" s="11">
        <v>7.46</v>
      </c>
      <c r="BQ31" s="30">
        <f t="shared" si="35"/>
        <v>-0.53333333333333388</v>
      </c>
      <c r="BR31" s="7">
        <v>4.1500000000000004</v>
      </c>
      <c r="BS31" s="11">
        <v>3.96</v>
      </c>
      <c r="BT31" s="30">
        <f t="shared" si="36"/>
        <v>-4.5783132530120572</v>
      </c>
      <c r="BU31" s="7">
        <f t="shared" si="56"/>
        <v>3.3499999999999996</v>
      </c>
      <c r="BV31" s="7">
        <f t="shared" si="55"/>
        <v>3.5</v>
      </c>
      <c r="BW31" s="30">
        <f t="shared" si="37"/>
        <v>4.4776119402985186</v>
      </c>
      <c r="BX31" s="7">
        <v>163</v>
      </c>
      <c r="BY31" s="8">
        <v>196</v>
      </c>
      <c r="BZ31" s="30">
        <f t="shared" si="38"/>
        <v>20.245398773006134</v>
      </c>
      <c r="CA31" s="7">
        <v>35</v>
      </c>
      <c r="CB31" s="8">
        <v>34</v>
      </c>
      <c r="CC31" s="30">
        <f t="shared" si="39"/>
        <v>-2.8571428571428572</v>
      </c>
      <c r="CD31" s="7">
        <f t="shared" ref="CD31:CD42" si="57">BX31-(CA31+CG31/5)</f>
        <v>94</v>
      </c>
      <c r="CE31" s="7">
        <v>94</v>
      </c>
      <c r="CF31" s="30">
        <f t="shared" si="40"/>
        <v>0</v>
      </c>
      <c r="CG31" s="7">
        <v>170</v>
      </c>
      <c r="CH31" s="8">
        <v>475</v>
      </c>
      <c r="CI31" s="30">
        <f t="shared" si="41"/>
        <v>179.41176470588235</v>
      </c>
      <c r="CJ31" s="7">
        <v>2.1</v>
      </c>
      <c r="CK31" s="9">
        <v>3</v>
      </c>
      <c r="CL31" s="30">
        <f t="shared" si="42"/>
        <v>42.857142857142847</v>
      </c>
      <c r="CM31" s="7">
        <v>13.6</v>
      </c>
      <c r="CN31" s="8">
        <v>15.5</v>
      </c>
      <c r="CO31" s="30">
        <f t="shared" si="43"/>
        <v>13.970588235294121</v>
      </c>
      <c r="CP31" s="7">
        <v>26.5</v>
      </c>
      <c r="CQ31" s="8">
        <v>21.8</v>
      </c>
      <c r="CR31" s="7">
        <v>34.799999999999997</v>
      </c>
      <c r="CS31" s="8">
        <v>26.3</v>
      </c>
      <c r="CT31" s="7">
        <f t="shared" si="4"/>
        <v>4.9393034825870643</v>
      </c>
      <c r="CU31" s="7">
        <f t="shared" si="5"/>
        <v>9.4850746268656714</v>
      </c>
      <c r="CV31" s="30">
        <f t="shared" si="44"/>
        <v>92.032634971796938</v>
      </c>
      <c r="CW31" s="6">
        <f t="shared" si="6"/>
        <v>0.95882352941176474</v>
      </c>
      <c r="CX31" s="6">
        <f t="shared" si="7"/>
        <v>0.4126315789473684</v>
      </c>
      <c r="CY31" s="6">
        <f t="shared" ref="CY31:CY42" si="58">CD31/CG31</f>
        <v>0.55294117647058827</v>
      </c>
      <c r="CZ31" s="6"/>
      <c r="DA31" s="6">
        <f t="shared" si="10"/>
        <v>4.6571428571428575</v>
      </c>
      <c r="DB31" s="6">
        <f t="shared" si="11"/>
        <v>5.7647058823529411</v>
      </c>
      <c r="DC31" s="6">
        <f t="shared" ref="DC31:DC40" si="59">CD31/CA31</f>
        <v>2.6857142857142855</v>
      </c>
      <c r="DD31" s="6"/>
      <c r="DE31" s="6">
        <f t="shared" si="14"/>
        <v>128</v>
      </c>
      <c r="DF31" s="6">
        <f t="shared" si="15"/>
        <v>162</v>
      </c>
      <c r="DG31" s="6">
        <v>36.4</v>
      </c>
      <c r="DH31" s="6">
        <v>28.9</v>
      </c>
      <c r="DI31" s="6">
        <v>324.89</v>
      </c>
      <c r="DJ31" s="6">
        <v>268.08</v>
      </c>
      <c r="DK31" s="6">
        <v>98.95</v>
      </c>
      <c r="DL31" s="6">
        <v>444.37</v>
      </c>
      <c r="DM31" s="30">
        <f t="shared" si="45"/>
        <v>349.08539666498234</v>
      </c>
      <c r="DN31" s="6">
        <v>1170.6099999999999</v>
      </c>
      <c r="DO31" s="6">
        <v>822.32</v>
      </c>
      <c r="DP31" s="30">
        <f t="shared" si="46"/>
        <v>-29.752863891475371</v>
      </c>
      <c r="DQ31" s="6">
        <v>9.1999999999999993</v>
      </c>
      <c r="DR31" s="6">
        <v>12.03</v>
      </c>
      <c r="DS31" s="30">
        <f t="shared" si="47"/>
        <v>30.760869565217398</v>
      </c>
      <c r="DT31" s="7">
        <v>438.79</v>
      </c>
      <c r="DU31" s="7">
        <v>593.14</v>
      </c>
      <c r="DV31" s="30">
        <f t="shared" si="48"/>
        <v>35.176280225164646</v>
      </c>
      <c r="DW31" s="6">
        <v>0.42199999999999999</v>
      </c>
      <c r="DX31" s="6">
        <v>0.26400000000000001</v>
      </c>
      <c r="DY31" s="30">
        <f t="shared" si="49"/>
        <v>-37.440758293838854</v>
      </c>
      <c r="DZ31" s="6">
        <v>1937197.74</v>
      </c>
      <c r="EA31" s="6">
        <v>2025865.32</v>
      </c>
      <c r="EB31" s="30">
        <f t="shared" si="50"/>
        <v>4.5771052778535699</v>
      </c>
      <c r="EC31" s="5">
        <v>1.06</v>
      </c>
      <c r="ED31" s="6">
        <v>0.55000000000000004</v>
      </c>
      <c r="EE31" s="30">
        <f t="shared" si="51"/>
        <v>-48.113207547169814</v>
      </c>
      <c r="EF31" s="6">
        <f t="shared" si="16"/>
        <v>216.7796296296296</v>
      </c>
      <c r="EG31" s="6">
        <f t="shared" si="17"/>
        <v>191.2372093023256</v>
      </c>
      <c r="EH31" s="6">
        <v>43.33</v>
      </c>
      <c r="EI31" s="6">
        <v>43.93</v>
      </c>
      <c r="EJ31" s="30">
        <f t="shared" si="52"/>
        <v>1.3847219016847483</v>
      </c>
      <c r="EK31" s="6">
        <v>54.12</v>
      </c>
      <c r="EL31" s="6">
        <v>54.12</v>
      </c>
      <c r="EM31" s="30">
        <f t="shared" si="53"/>
        <v>0</v>
      </c>
    </row>
    <row r="32" spans="1:143">
      <c r="A32" s="5">
        <v>104</v>
      </c>
      <c r="B32" s="6">
        <v>1</v>
      </c>
      <c r="C32" s="6">
        <v>1</v>
      </c>
      <c r="D32" s="6">
        <v>58</v>
      </c>
      <c r="E32" s="6">
        <v>1</v>
      </c>
      <c r="F32" s="6" t="s">
        <v>210</v>
      </c>
      <c r="G32" s="6">
        <v>2</v>
      </c>
      <c r="H32" s="6">
        <v>1</v>
      </c>
      <c r="I32" s="6">
        <v>85.4</v>
      </c>
      <c r="J32" s="6">
        <v>85.3</v>
      </c>
      <c r="K32" s="30">
        <f t="shared" si="18"/>
        <v>-0.11709601873537297</v>
      </c>
      <c r="L32" s="6">
        <v>1.63</v>
      </c>
      <c r="M32" s="6">
        <v>1.63</v>
      </c>
      <c r="N32" s="6">
        <v>32.14</v>
      </c>
      <c r="O32" s="6">
        <v>32.07</v>
      </c>
      <c r="P32" s="30">
        <f t="shared" si="19"/>
        <v>-0.21779713752333629</v>
      </c>
      <c r="Q32" s="6">
        <v>101</v>
      </c>
      <c r="R32" s="6">
        <v>106</v>
      </c>
      <c r="S32" s="30">
        <f t="shared" si="20"/>
        <v>4.9504950495049505</v>
      </c>
      <c r="T32" s="6">
        <v>106</v>
      </c>
      <c r="U32" s="6">
        <v>110</v>
      </c>
      <c r="V32" s="30">
        <f t="shared" si="21"/>
        <v>3.7735849056603774</v>
      </c>
      <c r="W32" s="6">
        <v>102</v>
      </c>
      <c r="X32" s="6">
        <v>112</v>
      </c>
      <c r="Y32" s="30">
        <f t="shared" si="22"/>
        <v>9.8039215686274517</v>
      </c>
      <c r="Z32" s="6">
        <v>110</v>
      </c>
      <c r="AA32" s="6">
        <v>120</v>
      </c>
      <c r="AB32" s="30">
        <f t="shared" si="23"/>
        <v>9.0909090909090917</v>
      </c>
      <c r="AC32" s="6">
        <v>70</v>
      </c>
      <c r="AD32" s="6">
        <v>70</v>
      </c>
      <c r="AE32" s="30">
        <f t="shared" si="24"/>
        <v>0</v>
      </c>
      <c r="AF32" s="6">
        <v>42.7</v>
      </c>
      <c r="AG32" s="6">
        <v>44.4</v>
      </c>
      <c r="AH32" s="30">
        <f t="shared" si="25"/>
        <v>3.9812646370023317</v>
      </c>
      <c r="AI32" s="6">
        <v>456</v>
      </c>
      <c r="AJ32" s="6">
        <v>502</v>
      </c>
      <c r="AK32" s="30">
        <f t="shared" si="26"/>
        <v>10.087719298245613</v>
      </c>
      <c r="AL32" s="6">
        <v>43</v>
      </c>
      <c r="AM32" s="6">
        <v>44</v>
      </c>
      <c r="AN32" s="7">
        <v>103</v>
      </c>
      <c r="AO32" s="8">
        <v>112</v>
      </c>
      <c r="AP32" s="30">
        <f t="shared" si="27"/>
        <v>8.7378640776699026</v>
      </c>
      <c r="AQ32" s="7">
        <v>41</v>
      </c>
      <c r="AR32" s="8">
        <v>49</v>
      </c>
      <c r="AS32" s="30">
        <f t="shared" si="28"/>
        <v>19.512195121951219</v>
      </c>
      <c r="AT32" s="7">
        <v>1.0900000000000001</v>
      </c>
      <c r="AU32" s="8">
        <v>1.1599999999999999</v>
      </c>
      <c r="AV32" s="30">
        <f t="shared" si="29"/>
        <v>6.4220183486238387</v>
      </c>
      <c r="AW32" s="7">
        <v>0.62</v>
      </c>
      <c r="AX32" s="8">
        <v>0.49</v>
      </c>
      <c r="AY32" s="30">
        <f t="shared" si="30"/>
        <v>-20.967741935483872</v>
      </c>
      <c r="AZ32" s="7">
        <v>0.13</v>
      </c>
      <c r="BA32" s="8">
        <v>0.13</v>
      </c>
      <c r="BB32" s="30">
        <f t="shared" si="31"/>
        <v>0</v>
      </c>
      <c r="BC32" s="7">
        <f t="shared" si="54"/>
        <v>0.49</v>
      </c>
      <c r="BD32" s="7">
        <f t="shared" si="32"/>
        <v>0.36</v>
      </c>
      <c r="BE32" s="30">
        <f t="shared" si="33"/>
        <v>-26.530612244897959</v>
      </c>
      <c r="BF32" s="7">
        <v>25</v>
      </c>
      <c r="BG32" s="8">
        <v>29</v>
      </c>
      <c r="BH32" s="7">
        <v>13</v>
      </c>
      <c r="BI32" s="8">
        <v>18</v>
      </c>
      <c r="BJ32" s="7">
        <v>23</v>
      </c>
      <c r="BK32" s="8">
        <v>26</v>
      </c>
      <c r="BL32" s="7">
        <v>6.7</v>
      </c>
      <c r="BM32" s="8">
        <v>6.7</v>
      </c>
      <c r="BN32" s="30">
        <f t="shared" si="34"/>
        <v>0</v>
      </c>
      <c r="BO32" s="7">
        <v>7.1</v>
      </c>
      <c r="BP32" s="8">
        <v>7.11</v>
      </c>
      <c r="BQ32" s="30">
        <f t="shared" si="35"/>
        <v>0.14084507042254471</v>
      </c>
      <c r="BR32" s="7">
        <v>3.93</v>
      </c>
      <c r="BS32" s="8">
        <v>4.07</v>
      </c>
      <c r="BT32" s="30">
        <f t="shared" si="36"/>
        <v>3.5623409669211221</v>
      </c>
      <c r="BU32" s="7">
        <f t="shared" si="56"/>
        <v>3.1699999999999995</v>
      </c>
      <c r="BV32" s="7">
        <f t="shared" si="55"/>
        <v>3.04</v>
      </c>
      <c r="BW32" s="30">
        <f t="shared" si="37"/>
        <v>-4.100946372239731</v>
      </c>
      <c r="BX32" s="7">
        <v>138</v>
      </c>
      <c r="BY32" s="8">
        <v>141</v>
      </c>
      <c r="BZ32" s="30">
        <f t="shared" si="38"/>
        <v>2.1739130434782608</v>
      </c>
      <c r="CA32" s="7">
        <v>45</v>
      </c>
      <c r="CB32" s="8">
        <v>45</v>
      </c>
      <c r="CC32" s="30">
        <f t="shared" si="39"/>
        <v>0</v>
      </c>
      <c r="CD32" s="7">
        <f t="shared" si="57"/>
        <v>76.2</v>
      </c>
      <c r="CE32" s="7">
        <f t="shared" ref="CE32:CE42" si="60">BY32-(CB32+CH32/5)</f>
        <v>79.599999999999994</v>
      </c>
      <c r="CF32" s="30">
        <f t="shared" si="40"/>
        <v>4.4619422572178369</v>
      </c>
      <c r="CG32" s="7">
        <v>84</v>
      </c>
      <c r="CH32" s="8">
        <v>82</v>
      </c>
      <c r="CI32" s="30">
        <f t="shared" si="41"/>
        <v>-2.3809523809523809</v>
      </c>
      <c r="CJ32" s="7">
        <v>3</v>
      </c>
      <c r="CK32" s="8">
        <v>1.1000000000000001</v>
      </c>
      <c r="CL32" s="30">
        <f t="shared" si="42"/>
        <v>-63.333333333333329</v>
      </c>
      <c r="CM32" s="7">
        <v>11.3</v>
      </c>
      <c r="CN32" s="8">
        <v>15.3</v>
      </c>
      <c r="CO32" s="30">
        <f t="shared" si="43"/>
        <v>35.398230088495573</v>
      </c>
      <c r="CP32" s="7">
        <v>31.2</v>
      </c>
      <c r="CQ32" s="8">
        <v>31.1</v>
      </c>
      <c r="CR32" s="7">
        <v>81.7</v>
      </c>
      <c r="CS32" s="8">
        <v>97.2</v>
      </c>
      <c r="CT32" s="7">
        <f t="shared" si="4"/>
        <v>2.8952736318407961</v>
      </c>
      <c r="CU32" s="7">
        <f t="shared" si="5"/>
        <v>4.2626865671641792</v>
      </c>
      <c r="CV32" s="30">
        <f t="shared" si="44"/>
        <v>47.229143397199067</v>
      </c>
      <c r="CW32" s="6">
        <f t="shared" si="6"/>
        <v>1.6428571428571428</v>
      </c>
      <c r="CX32" s="6">
        <f t="shared" si="7"/>
        <v>1.7195121951219512</v>
      </c>
      <c r="CY32" s="6">
        <f t="shared" si="58"/>
        <v>0.90714285714285714</v>
      </c>
      <c r="CZ32" s="6">
        <f t="shared" ref="CZ32:CZ42" si="61">CE32/CH32</f>
        <v>0.97073170731707314</v>
      </c>
      <c r="DA32" s="6">
        <f t="shared" si="10"/>
        <v>3.0666666666666669</v>
      </c>
      <c r="DB32" s="6">
        <f t="shared" si="11"/>
        <v>3.1333333333333333</v>
      </c>
      <c r="DC32" s="6">
        <f t="shared" si="59"/>
        <v>1.6933333333333334</v>
      </c>
      <c r="DD32" s="6">
        <f t="shared" ref="DD32:DD39" si="62">CE32/CB32</f>
        <v>1.7688888888888887</v>
      </c>
      <c r="DE32" s="6">
        <f t="shared" si="14"/>
        <v>93</v>
      </c>
      <c r="DF32" s="6">
        <f t="shared" si="15"/>
        <v>96</v>
      </c>
      <c r="DG32" s="6">
        <v>32.1</v>
      </c>
      <c r="DH32" s="6">
        <v>33.4</v>
      </c>
      <c r="DI32" s="6">
        <v>240.24</v>
      </c>
      <c r="DJ32" s="6">
        <v>197.22</v>
      </c>
      <c r="DK32" s="6">
        <v>47.1</v>
      </c>
      <c r="DL32" s="6">
        <v>64.510000000000005</v>
      </c>
      <c r="DM32" s="30">
        <f t="shared" si="45"/>
        <v>36.963906581740986</v>
      </c>
      <c r="DN32" s="6">
        <v>1350.62</v>
      </c>
      <c r="DO32" s="6">
        <v>963.58</v>
      </c>
      <c r="DP32" s="30">
        <f t="shared" si="46"/>
        <v>-28.656468880958364</v>
      </c>
      <c r="DQ32" s="6">
        <v>20.57</v>
      </c>
      <c r="DR32" s="6">
        <v>14.01</v>
      </c>
      <c r="DS32" s="30">
        <f t="shared" si="47"/>
        <v>-31.891103548857565</v>
      </c>
      <c r="DT32" s="7">
        <v>324.60000000000002</v>
      </c>
      <c r="DU32" s="7">
        <v>329.32</v>
      </c>
      <c r="DV32" s="30">
        <f t="shared" si="48"/>
        <v>1.4540973505853265</v>
      </c>
      <c r="DW32" s="6">
        <v>0.377</v>
      </c>
      <c r="DX32" s="6">
        <v>0.26700000000000002</v>
      </c>
      <c r="DY32" s="30">
        <f t="shared" si="49"/>
        <v>-29.177718832891241</v>
      </c>
      <c r="DZ32" s="6">
        <v>2006203.69</v>
      </c>
      <c r="EA32" s="6">
        <v>3509393.16</v>
      </c>
      <c r="EB32" s="30">
        <f t="shared" si="50"/>
        <v>74.927061369326879</v>
      </c>
      <c r="EC32" s="5">
        <v>0.31</v>
      </c>
      <c r="ED32" s="6">
        <v>1.06</v>
      </c>
      <c r="EE32" s="30">
        <f t="shared" si="51"/>
        <v>241.93548387096774</v>
      </c>
      <c r="EF32" s="6">
        <f t="shared" si="16"/>
        <v>201.58507462686566</v>
      </c>
      <c r="EG32" s="6">
        <f t="shared" si="17"/>
        <v>143.81791044776119</v>
      </c>
      <c r="EH32" s="6">
        <v>44.91</v>
      </c>
      <c r="EI32" s="6">
        <v>35.380000000000003</v>
      </c>
      <c r="EJ32" s="30">
        <f t="shared" si="52"/>
        <v>-21.220218214206181</v>
      </c>
      <c r="EK32" s="6">
        <v>49.72</v>
      </c>
      <c r="EL32" s="6">
        <v>38.85</v>
      </c>
      <c r="EM32" s="30">
        <f t="shared" si="53"/>
        <v>-21.862429605792432</v>
      </c>
    </row>
    <row r="33" spans="1:143">
      <c r="A33" s="5">
        <v>107</v>
      </c>
      <c r="B33" s="6">
        <v>1</v>
      </c>
      <c r="C33" s="6">
        <v>1</v>
      </c>
      <c r="D33" s="6">
        <v>61</v>
      </c>
      <c r="E33" s="6">
        <v>2</v>
      </c>
      <c r="F33" s="6" t="s">
        <v>211</v>
      </c>
      <c r="G33" s="6">
        <v>2</v>
      </c>
      <c r="H33" s="6">
        <v>1</v>
      </c>
      <c r="I33" s="6">
        <v>90.9</v>
      </c>
      <c r="J33" s="6">
        <v>90.3</v>
      </c>
      <c r="K33" s="30">
        <f t="shared" si="18"/>
        <v>-0.66006600660066939</v>
      </c>
      <c r="L33" s="6">
        <v>1.71</v>
      </c>
      <c r="M33" s="6">
        <v>1.71</v>
      </c>
      <c r="N33" s="6">
        <v>31.1</v>
      </c>
      <c r="O33" s="6">
        <v>30.92</v>
      </c>
      <c r="P33" s="30">
        <f t="shared" si="19"/>
        <v>-0.57877813504823061</v>
      </c>
      <c r="Q33" s="6">
        <v>103</v>
      </c>
      <c r="R33" s="6">
        <v>107</v>
      </c>
      <c r="S33" s="30">
        <f t="shared" si="20"/>
        <v>3.8834951456310676</v>
      </c>
      <c r="T33" s="6">
        <v>107</v>
      </c>
      <c r="U33" s="6">
        <v>107</v>
      </c>
      <c r="V33" s="30">
        <f t="shared" si="21"/>
        <v>0</v>
      </c>
      <c r="W33" s="6">
        <v>110</v>
      </c>
      <c r="X33" s="6">
        <v>110</v>
      </c>
      <c r="Y33" s="30">
        <f t="shared" si="22"/>
        <v>0</v>
      </c>
      <c r="Z33" s="6">
        <v>120</v>
      </c>
      <c r="AA33" s="6">
        <v>120</v>
      </c>
      <c r="AB33" s="30">
        <f t="shared" si="23"/>
        <v>0</v>
      </c>
      <c r="AC33" s="6">
        <v>75</v>
      </c>
      <c r="AD33" s="6">
        <v>70</v>
      </c>
      <c r="AE33" s="30">
        <f t="shared" si="24"/>
        <v>-6.666666666666667</v>
      </c>
      <c r="AF33" s="6">
        <v>32.9</v>
      </c>
      <c r="AG33" s="6">
        <v>34.299999999999997</v>
      </c>
      <c r="AH33" s="30">
        <f t="shared" si="25"/>
        <v>4.2553191489361657</v>
      </c>
      <c r="AI33" s="6">
        <v>436</v>
      </c>
      <c r="AJ33" s="6">
        <v>476</v>
      </c>
      <c r="AK33" s="30">
        <f t="shared" si="26"/>
        <v>9.1743119266055047</v>
      </c>
      <c r="AL33" s="6">
        <v>42</v>
      </c>
      <c r="AM33" s="6">
        <v>43</v>
      </c>
      <c r="AN33" s="8">
        <v>223</v>
      </c>
      <c r="AO33" s="8">
        <v>192</v>
      </c>
      <c r="AP33" s="30">
        <f t="shared" si="27"/>
        <v>-13.901345291479823</v>
      </c>
      <c r="AQ33" s="8">
        <v>27</v>
      </c>
      <c r="AR33" s="8">
        <v>32</v>
      </c>
      <c r="AS33" s="30">
        <f t="shared" si="28"/>
        <v>18.518518518518519</v>
      </c>
      <c r="AT33" s="8">
        <v>0.93</v>
      </c>
      <c r="AU33" s="11">
        <v>0.92</v>
      </c>
      <c r="AV33" s="30">
        <f t="shared" si="29"/>
        <v>-1.0752688172043021</v>
      </c>
      <c r="AW33" s="8">
        <v>0.8</v>
      </c>
      <c r="AX33" s="11">
        <v>0.68</v>
      </c>
      <c r="AY33" s="30">
        <f t="shared" si="30"/>
        <v>-15</v>
      </c>
      <c r="AZ33" s="8">
        <v>0.19</v>
      </c>
      <c r="BA33" s="11">
        <v>0.14000000000000001</v>
      </c>
      <c r="BB33" s="30">
        <f t="shared" si="31"/>
        <v>-26.315789473684205</v>
      </c>
      <c r="BC33" s="8">
        <f t="shared" si="54"/>
        <v>0.6100000000000001</v>
      </c>
      <c r="BD33" s="7">
        <f t="shared" si="32"/>
        <v>0.54</v>
      </c>
      <c r="BE33" s="30">
        <f t="shared" si="33"/>
        <v>-11.475409836065582</v>
      </c>
      <c r="BF33" s="8">
        <v>40</v>
      </c>
      <c r="BG33" s="8">
        <v>42</v>
      </c>
      <c r="BH33" s="8">
        <v>16</v>
      </c>
      <c r="BI33" s="8">
        <v>19</v>
      </c>
      <c r="BJ33" s="8">
        <v>30</v>
      </c>
      <c r="BK33" s="8">
        <v>28</v>
      </c>
      <c r="BL33" s="8">
        <v>3.1</v>
      </c>
      <c r="BM33" s="9">
        <v>3.3</v>
      </c>
      <c r="BN33" s="30">
        <f t="shared" si="34"/>
        <v>6.4516129032257981</v>
      </c>
      <c r="BO33" s="8">
        <v>7.93</v>
      </c>
      <c r="BP33" s="11">
        <v>7.61</v>
      </c>
      <c r="BQ33" s="30">
        <f t="shared" si="35"/>
        <v>-4.0353089533417323</v>
      </c>
      <c r="BR33" s="8">
        <v>3.88</v>
      </c>
      <c r="BS33" s="11">
        <v>3.84</v>
      </c>
      <c r="BT33" s="30">
        <f t="shared" si="36"/>
        <v>-1.0309278350515474</v>
      </c>
      <c r="BU33" s="8">
        <f t="shared" si="56"/>
        <v>4.05</v>
      </c>
      <c r="BV33" s="7">
        <f t="shared" si="55"/>
        <v>3.7700000000000005</v>
      </c>
      <c r="BW33" s="30">
        <f t="shared" si="37"/>
        <v>-6.9135802469135648</v>
      </c>
      <c r="BX33" s="8">
        <v>169</v>
      </c>
      <c r="BY33" s="8">
        <v>141</v>
      </c>
      <c r="BZ33" s="30">
        <f t="shared" si="38"/>
        <v>-16.568047337278109</v>
      </c>
      <c r="CA33" s="8">
        <v>51</v>
      </c>
      <c r="CB33" s="8">
        <v>45</v>
      </c>
      <c r="CC33" s="30">
        <f t="shared" si="39"/>
        <v>-11.76470588235294</v>
      </c>
      <c r="CD33" s="8">
        <f t="shared" si="57"/>
        <v>98.6</v>
      </c>
      <c r="CE33" s="7">
        <f t="shared" si="60"/>
        <v>75.400000000000006</v>
      </c>
      <c r="CF33" s="30">
        <f t="shared" si="40"/>
        <v>-23.52941176470587</v>
      </c>
      <c r="CG33" s="8">
        <v>97</v>
      </c>
      <c r="CH33" s="8">
        <v>103</v>
      </c>
      <c r="CI33" s="30">
        <f t="shared" si="41"/>
        <v>6.1855670103092786</v>
      </c>
      <c r="CJ33" s="8">
        <v>3.3</v>
      </c>
      <c r="CK33" s="9">
        <v>2.6</v>
      </c>
      <c r="CL33" s="30">
        <f t="shared" si="42"/>
        <v>-21.212121212121204</v>
      </c>
      <c r="CM33" s="8">
        <v>8.9</v>
      </c>
      <c r="CN33" s="8">
        <v>9.9</v>
      </c>
      <c r="CO33" s="30">
        <f t="shared" si="43"/>
        <v>11.235955056179774</v>
      </c>
      <c r="CP33" s="8">
        <v>18.3</v>
      </c>
      <c r="CQ33" s="8">
        <v>29.7</v>
      </c>
      <c r="CR33" s="8">
        <v>33.799999999999997</v>
      </c>
      <c r="CS33" s="8">
        <v>36.200000000000003</v>
      </c>
      <c r="CT33" s="7">
        <f t="shared" si="4"/>
        <v>4.9370646766169157</v>
      </c>
      <c r="CU33" s="7">
        <f t="shared" si="5"/>
        <v>4.7283582089552247</v>
      </c>
      <c r="CV33" s="30">
        <f t="shared" si="44"/>
        <v>-4.2273391444550699</v>
      </c>
      <c r="CW33" s="6">
        <f t="shared" si="6"/>
        <v>1.7422680412371134</v>
      </c>
      <c r="CX33" s="6">
        <f t="shared" si="7"/>
        <v>1.3689320388349515</v>
      </c>
      <c r="CY33" s="6">
        <f t="shared" si="58"/>
        <v>1.0164948453608247</v>
      </c>
      <c r="CZ33" s="6">
        <f t="shared" si="61"/>
        <v>0.73203883495145639</v>
      </c>
      <c r="DA33" s="6">
        <f t="shared" si="10"/>
        <v>3.3137254901960786</v>
      </c>
      <c r="DB33" s="6">
        <f t="shared" si="11"/>
        <v>3.1333333333333333</v>
      </c>
      <c r="DC33" s="6">
        <f t="shared" si="59"/>
        <v>1.9333333333333331</v>
      </c>
      <c r="DD33" s="6">
        <f t="shared" si="62"/>
        <v>1.6755555555555557</v>
      </c>
      <c r="DE33" s="6">
        <f t="shared" si="14"/>
        <v>118</v>
      </c>
      <c r="DF33" s="6">
        <f t="shared" si="15"/>
        <v>96</v>
      </c>
      <c r="DG33" s="6">
        <v>27.6</v>
      </c>
      <c r="DH33" s="6">
        <v>27.3</v>
      </c>
      <c r="DI33" s="6">
        <v>371.32</v>
      </c>
      <c r="DJ33" s="6">
        <v>340.12</v>
      </c>
      <c r="DK33" s="6">
        <v>64.28</v>
      </c>
      <c r="DL33" s="6">
        <v>66.53</v>
      </c>
      <c r="DM33" s="30">
        <f t="shared" si="45"/>
        <v>3.5003111387678905</v>
      </c>
      <c r="DN33" s="6">
        <v>774.3</v>
      </c>
      <c r="DO33" s="6">
        <v>775.08</v>
      </c>
      <c r="DP33" s="30">
        <f t="shared" si="46"/>
        <v>0.10073614877955399</v>
      </c>
      <c r="DQ33" s="6">
        <v>5.8</v>
      </c>
      <c r="DR33" s="6">
        <v>7</v>
      </c>
      <c r="DS33" s="30">
        <f t="shared" si="47"/>
        <v>20.689655172413797</v>
      </c>
      <c r="DT33" s="15">
        <v>240.31</v>
      </c>
      <c r="DU33" s="15">
        <v>414.59</v>
      </c>
      <c r="DV33" s="30">
        <f t="shared" si="48"/>
        <v>72.522991136448738</v>
      </c>
      <c r="DW33" s="6">
        <v>0.61799999999999999</v>
      </c>
      <c r="DX33" s="6">
        <v>0.32400000000000001</v>
      </c>
      <c r="DY33" s="30">
        <f t="shared" si="49"/>
        <v>-47.572815533980581</v>
      </c>
      <c r="DZ33" s="6">
        <v>1336674.45</v>
      </c>
      <c r="EA33" s="6">
        <v>1054066.8500000001</v>
      </c>
      <c r="EB33" s="30">
        <f t="shared" si="50"/>
        <v>-21.142590104868084</v>
      </c>
      <c r="EC33" s="6">
        <v>1.92</v>
      </c>
      <c r="ED33" s="6">
        <v>7.87</v>
      </c>
      <c r="EE33" s="30">
        <f t="shared" si="51"/>
        <v>309.89583333333337</v>
      </c>
      <c r="EF33" s="6">
        <f t="shared" si="16"/>
        <v>249.77419354838707</v>
      </c>
      <c r="EG33" s="6">
        <f t="shared" si="17"/>
        <v>234.8727272727273</v>
      </c>
      <c r="EH33" s="6">
        <v>39.81</v>
      </c>
      <c r="EI33" s="6">
        <v>61.19</v>
      </c>
      <c r="EJ33" s="30">
        <f t="shared" si="52"/>
        <v>53.705099221301168</v>
      </c>
      <c r="EK33" s="6">
        <v>55.15</v>
      </c>
      <c r="EL33" s="6">
        <v>32.82</v>
      </c>
      <c r="EM33" s="30">
        <f t="shared" si="53"/>
        <v>-40.489573889392567</v>
      </c>
    </row>
    <row r="34" spans="1:143">
      <c r="A34" s="5">
        <v>110</v>
      </c>
      <c r="B34" s="6">
        <v>1</v>
      </c>
      <c r="C34" s="6">
        <v>1</v>
      </c>
      <c r="D34" s="6">
        <v>62</v>
      </c>
      <c r="E34" s="6">
        <v>2</v>
      </c>
      <c r="F34" s="6" t="s">
        <v>212</v>
      </c>
      <c r="G34" s="6">
        <v>2</v>
      </c>
      <c r="H34" s="6">
        <v>1</v>
      </c>
      <c r="I34" s="6">
        <v>103</v>
      </c>
      <c r="J34" s="6">
        <v>104.8</v>
      </c>
      <c r="K34" s="30">
        <f t="shared" si="18"/>
        <v>1.7475728155339778</v>
      </c>
      <c r="L34" s="6">
        <v>1.73</v>
      </c>
      <c r="M34" s="6">
        <v>1.73</v>
      </c>
      <c r="N34" s="6">
        <v>34.4</v>
      </c>
      <c r="O34" s="6">
        <v>35.049999999999997</v>
      </c>
      <c r="P34" s="30">
        <f t="shared" si="19"/>
        <v>1.8895348837209263</v>
      </c>
      <c r="Q34" s="6">
        <v>101</v>
      </c>
      <c r="R34" s="6">
        <v>113</v>
      </c>
      <c r="S34" s="30">
        <f t="shared" si="20"/>
        <v>11.881188118811881</v>
      </c>
      <c r="T34" s="6">
        <v>105</v>
      </c>
      <c r="U34" s="6">
        <v>122</v>
      </c>
      <c r="V34" s="30">
        <f t="shared" si="21"/>
        <v>16.19047619047619</v>
      </c>
      <c r="W34" s="6">
        <v>114</v>
      </c>
      <c r="X34" s="6">
        <v>113</v>
      </c>
      <c r="Y34" s="30">
        <f t="shared" si="22"/>
        <v>-0.8771929824561403</v>
      </c>
      <c r="Z34" s="6">
        <v>140</v>
      </c>
      <c r="AA34" s="6">
        <v>155</v>
      </c>
      <c r="AB34" s="30">
        <f t="shared" si="23"/>
        <v>10.714285714285714</v>
      </c>
      <c r="AC34" s="6">
        <v>90</v>
      </c>
      <c r="AD34" s="6">
        <v>100</v>
      </c>
      <c r="AE34" s="30">
        <f t="shared" si="24"/>
        <v>11.111111111111111</v>
      </c>
      <c r="AF34" s="6">
        <v>32.799999999999997</v>
      </c>
      <c r="AG34" s="6">
        <v>33.9</v>
      </c>
      <c r="AH34" s="30">
        <f t="shared" si="25"/>
        <v>3.3536585365853702</v>
      </c>
      <c r="AI34" s="6">
        <v>377</v>
      </c>
      <c r="AJ34" s="6">
        <v>388</v>
      </c>
      <c r="AK34" s="30">
        <f t="shared" si="26"/>
        <v>2.9177718832891246</v>
      </c>
      <c r="AL34" s="6">
        <v>44</v>
      </c>
      <c r="AM34" s="6">
        <v>45</v>
      </c>
      <c r="AN34" s="8">
        <v>146</v>
      </c>
      <c r="AO34" s="8">
        <v>145</v>
      </c>
      <c r="AP34" s="30">
        <f t="shared" si="27"/>
        <v>-0.68493150684931503</v>
      </c>
      <c r="AQ34" s="8">
        <v>30</v>
      </c>
      <c r="AR34" s="8">
        <v>35</v>
      </c>
      <c r="AS34" s="30">
        <f t="shared" si="28"/>
        <v>16.666666666666664</v>
      </c>
      <c r="AT34" s="8">
        <v>0.98</v>
      </c>
      <c r="AU34" s="11">
        <v>1.06</v>
      </c>
      <c r="AV34" s="30">
        <f t="shared" si="29"/>
        <v>8.1632653061224563</v>
      </c>
      <c r="AW34" s="8">
        <v>0.76</v>
      </c>
      <c r="AX34" s="11">
        <v>0.7</v>
      </c>
      <c r="AY34" s="30">
        <f t="shared" si="30"/>
        <v>-7.8947368421052699</v>
      </c>
      <c r="AZ34" s="8">
        <v>0.18</v>
      </c>
      <c r="BA34" s="11">
        <v>0.2</v>
      </c>
      <c r="BB34" s="30">
        <f t="shared" si="31"/>
        <v>11.111111111111121</v>
      </c>
      <c r="BC34" s="8">
        <f t="shared" si="54"/>
        <v>0.58000000000000007</v>
      </c>
      <c r="BD34" s="7">
        <f t="shared" si="32"/>
        <v>0.49999999999999994</v>
      </c>
      <c r="BE34" s="30">
        <f t="shared" si="33"/>
        <v>-13.793103448275881</v>
      </c>
      <c r="BF34" s="8">
        <v>37</v>
      </c>
      <c r="BG34" s="8">
        <v>38</v>
      </c>
      <c r="BH34" s="8">
        <v>18</v>
      </c>
      <c r="BI34" s="8">
        <v>23</v>
      </c>
      <c r="BJ34" s="8">
        <v>34</v>
      </c>
      <c r="BK34" s="8">
        <v>34</v>
      </c>
      <c r="BL34" s="8">
        <v>7.3</v>
      </c>
      <c r="BM34" s="9">
        <v>6.8</v>
      </c>
      <c r="BN34" s="30">
        <f t="shared" si="34"/>
        <v>-6.8493150684931505</v>
      </c>
      <c r="BO34" s="8">
        <v>7.31</v>
      </c>
      <c r="BP34" s="11">
        <v>7.12</v>
      </c>
      <c r="BQ34" s="30">
        <f t="shared" si="35"/>
        <v>-2.5991792065663408</v>
      </c>
      <c r="BR34" s="8">
        <v>3.6</v>
      </c>
      <c r="BS34" s="11">
        <v>3.71</v>
      </c>
      <c r="BT34" s="30">
        <f t="shared" si="36"/>
        <v>3.0555555555555518</v>
      </c>
      <c r="BU34" s="8">
        <f t="shared" si="56"/>
        <v>3.7099999999999995</v>
      </c>
      <c r="BV34" s="7">
        <f t="shared" si="55"/>
        <v>3.41</v>
      </c>
      <c r="BW34" s="30">
        <f t="shared" si="37"/>
        <v>-8.0862533692722209</v>
      </c>
      <c r="BX34" s="8">
        <v>153</v>
      </c>
      <c r="BY34" s="8">
        <v>145</v>
      </c>
      <c r="BZ34" s="30">
        <f t="shared" si="38"/>
        <v>-5.2287581699346406</v>
      </c>
      <c r="CA34" s="8">
        <v>38</v>
      </c>
      <c r="CB34" s="8">
        <v>40</v>
      </c>
      <c r="CC34" s="30">
        <f t="shared" si="39"/>
        <v>5.2631578947368416</v>
      </c>
      <c r="CD34" s="8">
        <f t="shared" si="57"/>
        <v>96</v>
      </c>
      <c r="CE34" s="7">
        <f t="shared" si="60"/>
        <v>89.6</v>
      </c>
      <c r="CF34" s="30">
        <f t="shared" si="40"/>
        <v>-6.6666666666666723</v>
      </c>
      <c r="CG34" s="8">
        <v>95</v>
      </c>
      <c r="CH34" s="8">
        <v>77</v>
      </c>
      <c r="CI34" s="30">
        <f t="shared" si="41"/>
        <v>-18.947368421052634</v>
      </c>
      <c r="CJ34" s="8">
        <v>3.5</v>
      </c>
      <c r="CK34" s="9">
        <v>2.2999999999999998</v>
      </c>
      <c r="CL34" s="30">
        <f t="shared" si="42"/>
        <v>-34.285714285714292</v>
      </c>
      <c r="CM34" s="8">
        <v>11.5</v>
      </c>
      <c r="CN34" s="8">
        <v>12.4</v>
      </c>
      <c r="CO34" s="30">
        <f t="shared" si="43"/>
        <v>7.8260869565217428</v>
      </c>
      <c r="CP34" s="8">
        <v>24.7</v>
      </c>
      <c r="CQ34" s="8">
        <v>38.1</v>
      </c>
      <c r="CR34" s="8">
        <v>50.7</v>
      </c>
      <c r="CS34" s="8">
        <v>57.7</v>
      </c>
      <c r="CT34" s="7">
        <f t="shared" ref="CT34:CT65" si="63">CM34*AN34/402</f>
        <v>4.1766169154228852</v>
      </c>
      <c r="CU34" s="7">
        <f t="shared" ref="CU34:CU65" si="64">AO34*CN34/402</f>
        <v>4.4726368159203984</v>
      </c>
      <c r="CV34" s="30">
        <f t="shared" si="44"/>
        <v>7.0875521143538025</v>
      </c>
      <c r="CW34" s="6">
        <f t="shared" ref="CW34:CW65" si="65">BX34/CG34</f>
        <v>1.6105263157894736</v>
      </c>
      <c r="CX34" s="6">
        <f t="shared" ref="CX34:CX65" si="66">BY34/CH34</f>
        <v>1.8831168831168832</v>
      </c>
      <c r="CY34" s="6">
        <f t="shared" si="58"/>
        <v>1.0105263157894737</v>
      </c>
      <c r="CZ34" s="6">
        <f t="shared" si="61"/>
        <v>1.1636363636363636</v>
      </c>
      <c r="DA34" s="6">
        <f t="shared" si="10"/>
        <v>4.0263157894736841</v>
      </c>
      <c r="DB34" s="6">
        <f t="shared" si="11"/>
        <v>3.625</v>
      </c>
      <c r="DC34" s="6">
        <f t="shared" si="59"/>
        <v>2.5263157894736841</v>
      </c>
      <c r="DD34" s="6">
        <f t="shared" si="62"/>
        <v>2.2399999999999998</v>
      </c>
      <c r="DE34" s="6">
        <f t="shared" si="14"/>
        <v>115</v>
      </c>
      <c r="DF34" s="6">
        <f t="shared" si="15"/>
        <v>105</v>
      </c>
      <c r="DG34" s="6">
        <v>24.6</v>
      </c>
      <c r="DH34" s="6">
        <v>25.9</v>
      </c>
      <c r="DI34" s="6">
        <v>295.54000000000002</v>
      </c>
      <c r="DJ34" s="6">
        <v>169.67</v>
      </c>
      <c r="DK34" s="6">
        <v>64.959999999999994</v>
      </c>
      <c r="DL34" s="6">
        <v>69.930000000000007</v>
      </c>
      <c r="DM34" s="30">
        <f t="shared" si="45"/>
        <v>7.6508620689655391</v>
      </c>
      <c r="DN34" s="6">
        <v>868.32</v>
      </c>
      <c r="DO34" s="6">
        <v>935.12</v>
      </c>
      <c r="DP34" s="30">
        <f t="shared" si="46"/>
        <v>7.6930163994840557</v>
      </c>
      <c r="DQ34" s="6">
        <v>6.87</v>
      </c>
      <c r="DR34" s="6">
        <v>6.01</v>
      </c>
      <c r="DS34" s="30">
        <f t="shared" si="47"/>
        <v>-12.518195050946145</v>
      </c>
      <c r="DT34" s="15">
        <v>308.44</v>
      </c>
      <c r="DU34" s="15">
        <v>332.57</v>
      </c>
      <c r="DV34" s="30">
        <f t="shared" si="48"/>
        <v>7.823239527947087</v>
      </c>
      <c r="DW34" s="6">
        <v>0.41</v>
      </c>
      <c r="DX34" s="6">
        <v>0.214</v>
      </c>
      <c r="DY34" s="30">
        <f t="shared" si="49"/>
        <v>-47.804878048780488</v>
      </c>
      <c r="DZ34" s="6">
        <v>1928773.34</v>
      </c>
      <c r="EA34" s="6">
        <v>3268945.57</v>
      </c>
      <c r="EB34" s="30">
        <f t="shared" si="50"/>
        <v>69.483137401722885</v>
      </c>
      <c r="EC34" s="6">
        <v>6.85</v>
      </c>
      <c r="ED34" s="6">
        <v>12.75</v>
      </c>
      <c r="EE34" s="30">
        <f t="shared" si="51"/>
        <v>86.131386861313871</v>
      </c>
      <c r="EF34" s="6">
        <f t="shared" ref="EF34:EF54" si="67">DN34/BL34</f>
        <v>118.94794520547946</v>
      </c>
      <c r="EG34" s="6">
        <f t="shared" ref="EG34:EG54" si="68">DO34/BM34</f>
        <v>137.51764705882354</v>
      </c>
      <c r="EH34" s="6">
        <v>32.18</v>
      </c>
      <c r="EI34" s="6">
        <v>34.11</v>
      </c>
      <c r="EJ34" s="30">
        <f t="shared" si="52"/>
        <v>5.9975139838408946</v>
      </c>
      <c r="EK34" s="6">
        <v>16.52</v>
      </c>
      <c r="EL34" s="6">
        <v>14.92</v>
      </c>
      <c r="EM34" s="30">
        <f t="shared" si="53"/>
        <v>-9.6852300242130731</v>
      </c>
    </row>
    <row r="35" spans="1:143">
      <c r="A35" s="5">
        <v>115</v>
      </c>
      <c r="B35" s="6">
        <v>1</v>
      </c>
      <c r="C35" s="6">
        <v>1</v>
      </c>
      <c r="D35" s="6">
        <v>58</v>
      </c>
      <c r="E35" s="6">
        <v>1</v>
      </c>
      <c r="F35" s="6" t="s">
        <v>213</v>
      </c>
      <c r="G35" s="6">
        <v>2</v>
      </c>
      <c r="H35" s="6">
        <v>1</v>
      </c>
      <c r="I35" s="6">
        <v>143.19999999999999</v>
      </c>
      <c r="J35" s="6">
        <v>141.80000000000001</v>
      </c>
      <c r="K35" s="30">
        <f t="shared" si="18"/>
        <v>-0.97765363128490046</v>
      </c>
      <c r="L35" s="6">
        <v>1.61</v>
      </c>
      <c r="M35" s="6">
        <v>1.61</v>
      </c>
      <c r="N35" s="6">
        <v>55.2</v>
      </c>
      <c r="O35" s="6">
        <v>54.75</v>
      </c>
      <c r="P35" s="30">
        <f t="shared" si="19"/>
        <v>-0.815217391304353</v>
      </c>
      <c r="Q35" s="6">
        <v>140</v>
      </c>
      <c r="R35" s="6">
        <v>137</v>
      </c>
      <c r="S35" s="30">
        <f t="shared" si="20"/>
        <v>-2.1428571428571428</v>
      </c>
      <c r="T35" s="6">
        <v>159</v>
      </c>
      <c r="U35" s="6">
        <v>146</v>
      </c>
      <c r="V35" s="30">
        <f t="shared" si="21"/>
        <v>-8.1761006289308167</v>
      </c>
      <c r="W35" s="6">
        <v>170</v>
      </c>
      <c r="X35" s="6">
        <v>170</v>
      </c>
      <c r="Y35" s="30">
        <f t="shared" si="22"/>
        <v>0</v>
      </c>
      <c r="Z35" s="6">
        <v>145</v>
      </c>
      <c r="AA35" s="6">
        <v>145</v>
      </c>
      <c r="AB35" s="30">
        <f t="shared" si="23"/>
        <v>0</v>
      </c>
      <c r="AC35" s="6">
        <v>85</v>
      </c>
      <c r="AD35" s="6">
        <v>95</v>
      </c>
      <c r="AE35" s="30">
        <f t="shared" si="24"/>
        <v>11.76470588235294</v>
      </c>
      <c r="AF35" s="6">
        <v>56.4</v>
      </c>
      <c r="AG35" s="6">
        <v>56.2</v>
      </c>
      <c r="AH35" s="30">
        <f t="shared" si="25"/>
        <v>-0.35460992907800665</v>
      </c>
      <c r="AI35" s="6">
        <v>329</v>
      </c>
      <c r="AJ35" s="6">
        <v>332</v>
      </c>
      <c r="AK35" s="30">
        <f t="shared" si="26"/>
        <v>0.91185410334346495</v>
      </c>
      <c r="AL35" s="6">
        <v>53</v>
      </c>
      <c r="AM35" s="6">
        <v>53</v>
      </c>
      <c r="AN35" s="8">
        <v>136</v>
      </c>
      <c r="AO35" s="8">
        <v>98</v>
      </c>
      <c r="AP35" s="30">
        <f t="shared" si="27"/>
        <v>-27.941176470588236</v>
      </c>
      <c r="AQ35" s="8">
        <v>38</v>
      </c>
      <c r="AR35" s="8">
        <v>37</v>
      </c>
      <c r="AS35" s="30">
        <f t="shared" si="28"/>
        <v>-2.6315789473684208</v>
      </c>
      <c r="AT35" s="8">
        <v>0.83</v>
      </c>
      <c r="AU35" s="11">
        <v>0.75</v>
      </c>
      <c r="AV35" s="30">
        <f t="shared" si="29"/>
        <v>-9.6385542168674654</v>
      </c>
      <c r="AW35" s="8">
        <v>0.48</v>
      </c>
      <c r="AX35" s="11">
        <v>0.61</v>
      </c>
      <c r="AY35" s="30">
        <f t="shared" si="30"/>
        <v>27.083333333333336</v>
      </c>
      <c r="AZ35" s="8">
        <v>0.15</v>
      </c>
      <c r="BA35" s="11">
        <v>0.16</v>
      </c>
      <c r="BB35" s="30">
        <f t="shared" si="31"/>
        <v>6.6666666666666732</v>
      </c>
      <c r="BC35" s="8">
        <f t="shared" si="54"/>
        <v>0.32999999999999996</v>
      </c>
      <c r="BD35" s="7">
        <f t="shared" si="32"/>
        <v>0.44999999999999996</v>
      </c>
      <c r="BE35" s="30">
        <f t="shared" si="33"/>
        <v>36.363636363636367</v>
      </c>
      <c r="BF35" s="8">
        <v>124</v>
      </c>
      <c r="BG35" s="8">
        <v>89</v>
      </c>
      <c r="BH35" s="8">
        <v>123</v>
      </c>
      <c r="BI35" s="8">
        <v>103</v>
      </c>
      <c r="BJ35" s="8">
        <v>230</v>
      </c>
      <c r="BK35" s="8">
        <v>250</v>
      </c>
      <c r="BL35" s="8">
        <v>5.4</v>
      </c>
      <c r="BM35" s="9">
        <v>5.5</v>
      </c>
      <c r="BN35" s="30">
        <f t="shared" si="34"/>
        <v>1.8518518518518452</v>
      </c>
      <c r="BO35" s="8">
        <v>7.28</v>
      </c>
      <c r="BP35" s="11">
        <v>7.1</v>
      </c>
      <c r="BQ35" s="30">
        <f t="shared" si="35"/>
        <v>-2.4725274725274806</v>
      </c>
      <c r="BR35" s="8">
        <v>3.54</v>
      </c>
      <c r="BS35" s="11">
        <v>3.65</v>
      </c>
      <c r="BT35" s="30">
        <f t="shared" si="36"/>
        <v>3.107344632768358</v>
      </c>
      <c r="BU35" s="8">
        <f t="shared" si="56"/>
        <v>3.74</v>
      </c>
      <c r="BV35" s="7">
        <f t="shared" si="55"/>
        <v>3.4499999999999997</v>
      </c>
      <c r="BW35" s="30">
        <f t="shared" si="37"/>
        <v>-7.754010695187179</v>
      </c>
      <c r="BX35" s="8">
        <v>200</v>
      </c>
      <c r="BY35" s="8">
        <v>175</v>
      </c>
      <c r="BZ35" s="30">
        <f t="shared" si="38"/>
        <v>-12.5</v>
      </c>
      <c r="CA35" s="8">
        <v>32</v>
      </c>
      <c r="CB35" s="8">
        <v>39</v>
      </c>
      <c r="CC35" s="30">
        <f t="shared" si="39"/>
        <v>21.875</v>
      </c>
      <c r="CD35" s="8">
        <f t="shared" si="57"/>
        <v>133.4</v>
      </c>
      <c r="CE35" s="7">
        <f t="shared" si="60"/>
        <v>114.4</v>
      </c>
      <c r="CF35" s="30">
        <f t="shared" si="40"/>
        <v>-14.242878560719641</v>
      </c>
      <c r="CG35" s="8">
        <v>173</v>
      </c>
      <c r="CH35" s="8">
        <v>108</v>
      </c>
      <c r="CI35" s="30">
        <f t="shared" si="41"/>
        <v>-37.572254335260112</v>
      </c>
      <c r="CJ35" s="8">
        <v>13.9</v>
      </c>
      <c r="CK35" s="9">
        <v>9.6999999999999993</v>
      </c>
      <c r="CL35" s="30">
        <f t="shared" si="42"/>
        <v>-30.215827338129504</v>
      </c>
      <c r="CM35" s="8">
        <v>31.6</v>
      </c>
      <c r="CN35" s="8">
        <v>30.2</v>
      </c>
      <c r="CO35" s="30">
        <f t="shared" si="43"/>
        <v>-4.4303797468354489</v>
      </c>
      <c r="CP35" s="8">
        <v>20.399999999999999</v>
      </c>
      <c r="CQ35" s="8">
        <v>35.200000000000003</v>
      </c>
      <c r="CR35" s="8">
        <v>95.4</v>
      </c>
      <c r="CS35" s="8">
        <v>116.2</v>
      </c>
      <c r="CT35" s="7">
        <f t="shared" si="63"/>
        <v>10.690547263681593</v>
      </c>
      <c r="CU35" s="7">
        <f t="shared" si="64"/>
        <v>7.3621890547263682</v>
      </c>
      <c r="CV35" s="30">
        <f t="shared" si="44"/>
        <v>-31.133655994043192</v>
      </c>
      <c r="CW35" s="6">
        <f t="shared" si="65"/>
        <v>1.1560693641618498</v>
      </c>
      <c r="CX35" s="6">
        <f t="shared" si="66"/>
        <v>1.6203703703703705</v>
      </c>
      <c r="CY35" s="6">
        <f t="shared" si="58"/>
        <v>0.77109826589595376</v>
      </c>
      <c r="CZ35" s="6">
        <f t="shared" si="61"/>
        <v>1.0592592592592593</v>
      </c>
      <c r="DA35" s="6">
        <f t="shared" si="10"/>
        <v>6.25</v>
      </c>
      <c r="DB35" s="6">
        <f t="shared" si="11"/>
        <v>4.4871794871794872</v>
      </c>
      <c r="DC35" s="6">
        <f t="shared" si="59"/>
        <v>4.1687500000000002</v>
      </c>
      <c r="DD35" s="6">
        <f t="shared" si="62"/>
        <v>2.9333333333333336</v>
      </c>
      <c r="DE35" s="6">
        <f t="shared" si="14"/>
        <v>168</v>
      </c>
      <c r="DF35" s="6">
        <f t="shared" si="15"/>
        <v>136</v>
      </c>
      <c r="DG35" s="6">
        <v>16.2</v>
      </c>
      <c r="DH35" s="6">
        <v>16.3</v>
      </c>
      <c r="DI35" s="6">
        <v>337.22</v>
      </c>
      <c r="DJ35" s="6">
        <v>240.33</v>
      </c>
      <c r="DK35" s="6">
        <v>206.2</v>
      </c>
      <c r="DL35" s="6">
        <v>45.17</v>
      </c>
      <c r="DM35" s="30">
        <f t="shared" si="45"/>
        <v>-78.094083414160991</v>
      </c>
      <c r="DN35" s="6">
        <v>808.43</v>
      </c>
      <c r="DO35" s="6">
        <v>824.06</v>
      </c>
      <c r="DP35" s="30">
        <f t="shared" si="46"/>
        <v>1.9333770394468284</v>
      </c>
      <c r="DQ35" s="6">
        <v>15.02</v>
      </c>
      <c r="DR35" s="6">
        <v>4.5999999999999996</v>
      </c>
      <c r="DS35" s="30">
        <f t="shared" si="47"/>
        <v>-69.374167776298265</v>
      </c>
      <c r="DT35" s="15">
        <v>403.5</v>
      </c>
      <c r="DU35" s="15">
        <v>463.15</v>
      </c>
      <c r="DV35" s="30">
        <f t="shared" si="48"/>
        <v>14.783147459727381</v>
      </c>
      <c r="DW35" s="6">
        <v>0.44600000000000001</v>
      </c>
      <c r="DX35" s="6">
        <v>0.41</v>
      </c>
      <c r="DY35" s="30">
        <f t="shared" si="49"/>
        <v>-8.0717488789237741</v>
      </c>
      <c r="DZ35" s="6">
        <v>2422209.3199999998</v>
      </c>
      <c r="EA35" s="6">
        <v>1139653.3600000001</v>
      </c>
      <c r="EB35" s="30">
        <f t="shared" si="50"/>
        <v>-52.949840024560714</v>
      </c>
      <c r="EC35" s="6">
        <v>11.41</v>
      </c>
      <c r="ED35" s="6">
        <v>9.2200000000000006</v>
      </c>
      <c r="EE35" s="30">
        <f t="shared" si="51"/>
        <v>-19.193689745836981</v>
      </c>
      <c r="EF35" s="6">
        <f t="shared" si="67"/>
        <v>149.70925925925923</v>
      </c>
      <c r="EG35" s="6">
        <f t="shared" si="68"/>
        <v>149.82909090909089</v>
      </c>
      <c r="EH35" s="6">
        <v>44.03</v>
      </c>
      <c r="EI35" s="6">
        <v>44.36</v>
      </c>
      <c r="EJ35" s="30">
        <f t="shared" si="52"/>
        <v>0.74948898478309856</v>
      </c>
      <c r="EK35" s="6">
        <v>52.63</v>
      </c>
      <c r="EL35" s="6">
        <v>44.37</v>
      </c>
      <c r="EM35" s="30">
        <f t="shared" si="53"/>
        <v>-15.694470834125033</v>
      </c>
    </row>
    <row r="36" spans="1:143">
      <c r="A36" s="5">
        <v>120</v>
      </c>
      <c r="B36" s="6">
        <v>1</v>
      </c>
      <c r="C36" s="6">
        <v>1</v>
      </c>
      <c r="D36" s="6">
        <v>49</v>
      </c>
      <c r="E36" s="6">
        <v>2</v>
      </c>
      <c r="F36" s="6" t="s">
        <v>214</v>
      </c>
      <c r="G36" s="6">
        <v>2</v>
      </c>
      <c r="H36" s="6">
        <v>1</v>
      </c>
      <c r="I36" s="6">
        <v>117.6</v>
      </c>
      <c r="J36" s="6">
        <v>118.1</v>
      </c>
      <c r="K36" s="30">
        <f t="shared" si="18"/>
        <v>0.42517006802721091</v>
      </c>
      <c r="L36" s="6">
        <v>1.72</v>
      </c>
      <c r="M36" s="6">
        <v>1.72</v>
      </c>
      <c r="N36" s="6">
        <v>39.799999999999997</v>
      </c>
      <c r="O36" s="6">
        <v>39.9</v>
      </c>
      <c r="P36" s="30">
        <f t="shared" si="19"/>
        <v>0.25125628140703876</v>
      </c>
      <c r="Q36" s="6">
        <v>124</v>
      </c>
      <c r="R36" s="6">
        <v>117</v>
      </c>
      <c r="S36" s="30">
        <f t="shared" si="20"/>
        <v>-5.6451612903225801</v>
      </c>
      <c r="T36" s="6">
        <v>130</v>
      </c>
      <c r="U36" s="6">
        <v>132</v>
      </c>
      <c r="V36" s="30">
        <f t="shared" si="21"/>
        <v>1.5384615384615385</v>
      </c>
      <c r="W36" s="6">
        <v>127</v>
      </c>
      <c r="X36" s="6">
        <v>130</v>
      </c>
      <c r="Y36" s="30">
        <f t="shared" si="22"/>
        <v>2.3622047244094486</v>
      </c>
      <c r="Z36" s="6">
        <v>105</v>
      </c>
      <c r="AA36" s="6">
        <v>135</v>
      </c>
      <c r="AB36" s="30">
        <f t="shared" si="23"/>
        <v>28.571428571428569</v>
      </c>
      <c r="AC36" s="6">
        <v>70</v>
      </c>
      <c r="AD36" s="6">
        <v>75</v>
      </c>
      <c r="AE36" s="30">
        <f t="shared" si="24"/>
        <v>7.1428571428571423</v>
      </c>
      <c r="AF36" s="6">
        <v>33.700000000000003</v>
      </c>
      <c r="AG36" s="6">
        <v>33.299999999999997</v>
      </c>
      <c r="AH36" s="30">
        <f t="shared" si="25"/>
        <v>-1.1869436201780583</v>
      </c>
      <c r="AI36" s="6">
        <v>305</v>
      </c>
      <c r="AJ36" s="6">
        <v>295</v>
      </c>
      <c r="AK36" s="30">
        <f t="shared" si="26"/>
        <v>-3.278688524590164</v>
      </c>
      <c r="AL36" s="6">
        <v>46</v>
      </c>
      <c r="AM36" s="6">
        <v>46</v>
      </c>
      <c r="AN36" s="8">
        <v>109</v>
      </c>
      <c r="AO36" s="8">
        <v>111</v>
      </c>
      <c r="AP36" s="30">
        <f t="shared" si="27"/>
        <v>1.834862385321101</v>
      </c>
      <c r="AQ36" s="8">
        <v>24</v>
      </c>
      <c r="AR36" s="8">
        <v>21</v>
      </c>
      <c r="AS36" s="30">
        <f t="shared" si="28"/>
        <v>-12.5</v>
      </c>
      <c r="AT36" s="8">
        <v>0.65</v>
      </c>
      <c r="AU36" s="11">
        <v>0.68</v>
      </c>
      <c r="AV36" s="30">
        <f t="shared" si="29"/>
        <v>4.6153846153846194</v>
      </c>
      <c r="AW36" s="8">
        <v>0.45</v>
      </c>
      <c r="AX36" s="11">
        <v>0.4</v>
      </c>
      <c r="AY36" s="30">
        <f t="shared" si="30"/>
        <v>-11.111111111111107</v>
      </c>
      <c r="AZ36" s="8">
        <v>0.13</v>
      </c>
      <c r="BA36" s="11">
        <v>0.12</v>
      </c>
      <c r="BB36" s="30">
        <f t="shared" si="31"/>
        <v>-7.6923076923076987</v>
      </c>
      <c r="BC36" s="8">
        <f t="shared" si="54"/>
        <v>0.32</v>
      </c>
      <c r="BD36" s="7">
        <f t="shared" si="32"/>
        <v>0.28000000000000003</v>
      </c>
      <c r="BE36" s="30">
        <f t="shared" si="33"/>
        <v>-12.499999999999993</v>
      </c>
      <c r="BF36" s="8">
        <v>51</v>
      </c>
      <c r="BG36" s="8">
        <v>37</v>
      </c>
      <c r="BH36" s="8">
        <v>25</v>
      </c>
      <c r="BI36" s="8">
        <v>29</v>
      </c>
      <c r="BJ36" s="8">
        <v>56</v>
      </c>
      <c r="BK36" s="8">
        <v>39</v>
      </c>
      <c r="BL36" s="8">
        <v>4.5</v>
      </c>
      <c r="BM36" s="9">
        <v>4.5999999999999996</v>
      </c>
      <c r="BN36" s="30">
        <f t="shared" si="34"/>
        <v>2.2222222222222143</v>
      </c>
      <c r="BO36" s="8">
        <v>7.69</v>
      </c>
      <c r="BP36" s="11">
        <v>7.22</v>
      </c>
      <c r="BQ36" s="30">
        <f t="shared" si="35"/>
        <v>-6.1118335500650272</v>
      </c>
      <c r="BR36" s="8">
        <v>3.79</v>
      </c>
      <c r="BS36" s="11">
        <v>3.8</v>
      </c>
      <c r="BT36" s="30">
        <f t="shared" si="36"/>
        <v>0.26385224274405766</v>
      </c>
      <c r="BU36" s="8">
        <f t="shared" si="56"/>
        <v>3.9000000000000004</v>
      </c>
      <c r="BV36" s="7">
        <f t="shared" si="55"/>
        <v>3.42</v>
      </c>
      <c r="BW36" s="30">
        <f t="shared" si="37"/>
        <v>-12.307692307692317</v>
      </c>
      <c r="BX36" s="8">
        <v>109</v>
      </c>
      <c r="BY36" s="8">
        <v>102</v>
      </c>
      <c r="BZ36" s="30">
        <f t="shared" si="38"/>
        <v>-6.4220183486238538</v>
      </c>
      <c r="CA36" s="8">
        <v>33</v>
      </c>
      <c r="CB36" s="8">
        <v>44</v>
      </c>
      <c r="CC36" s="30">
        <f t="shared" si="39"/>
        <v>33.333333333333329</v>
      </c>
      <c r="CD36" s="8">
        <f t="shared" si="57"/>
        <v>56.4</v>
      </c>
      <c r="CE36" s="7">
        <f t="shared" si="60"/>
        <v>46.2</v>
      </c>
      <c r="CF36" s="30">
        <f t="shared" si="40"/>
        <v>-18.085106382978715</v>
      </c>
      <c r="CG36" s="8">
        <v>98</v>
      </c>
      <c r="CH36" s="8">
        <v>59</v>
      </c>
      <c r="CI36" s="30">
        <f t="shared" si="41"/>
        <v>-39.795918367346935</v>
      </c>
      <c r="CJ36" s="8">
        <v>6.1</v>
      </c>
      <c r="CK36" s="9">
        <v>5.6</v>
      </c>
      <c r="CL36" s="30">
        <f t="shared" si="42"/>
        <v>-8.1967213114754109</v>
      </c>
      <c r="CM36" s="8">
        <v>21.6</v>
      </c>
      <c r="CN36" s="8">
        <v>25.6</v>
      </c>
      <c r="CO36" s="30">
        <f t="shared" si="43"/>
        <v>18.518518518518519</v>
      </c>
      <c r="CP36" s="8">
        <v>19.399999999999999</v>
      </c>
      <c r="CQ36" s="8">
        <v>31.7</v>
      </c>
      <c r="CR36" s="8">
        <v>44.1</v>
      </c>
      <c r="CS36" s="8">
        <v>48</v>
      </c>
      <c r="CT36" s="7">
        <f t="shared" si="63"/>
        <v>5.8567164179104481</v>
      </c>
      <c r="CU36" s="7">
        <f t="shared" si="64"/>
        <v>7.0686567164179115</v>
      </c>
      <c r="CV36" s="30">
        <f t="shared" si="44"/>
        <v>20.693170234454648</v>
      </c>
      <c r="CW36" s="6">
        <f t="shared" si="65"/>
        <v>1.1122448979591837</v>
      </c>
      <c r="CX36" s="6">
        <f t="shared" si="66"/>
        <v>1.728813559322034</v>
      </c>
      <c r="CY36" s="6">
        <f t="shared" si="58"/>
        <v>0.57551020408163267</v>
      </c>
      <c r="CZ36" s="6">
        <f t="shared" si="61"/>
        <v>0.78305084745762721</v>
      </c>
      <c r="DA36" s="6">
        <f t="shared" si="10"/>
        <v>3.3030303030303032</v>
      </c>
      <c r="DB36" s="6">
        <f t="shared" si="11"/>
        <v>2.3181818181818183</v>
      </c>
      <c r="DC36" s="6">
        <f t="shared" si="59"/>
        <v>1.709090909090909</v>
      </c>
      <c r="DD36" s="6">
        <f t="shared" si="62"/>
        <v>1.05</v>
      </c>
      <c r="DE36" s="6">
        <f t="shared" si="14"/>
        <v>76</v>
      </c>
      <c r="DF36" s="6">
        <f t="shared" si="15"/>
        <v>58</v>
      </c>
      <c r="DG36" s="6">
        <v>25.1</v>
      </c>
      <c r="DH36" s="6">
        <v>24.7</v>
      </c>
      <c r="DI36" s="6">
        <v>346.06</v>
      </c>
      <c r="DJ36" s="6">
        <v>223.2</v>
      </c>
      <c r="DK36" s="6">
        <v>51.08</v>
      </c>
      <c r="DL36" s="6">
        <v>74.790000000000006</v>
      </c>
      <c r="DM36" s="30">
        <f t="shared" si="45"/>
        <v>46.41738449490996</v>
      </c>
      <c r="DN36" s="6">
        <v>907.91</v>
      </c>
      <c r="DO36" s="6">
        <v>756.24</v>
      </c>
      <c r="DP36" s="30">
        <f t="shared" si="46"/>
        <v>-16.705400315009193</v>
      </c>
      <c r="DQ36" s="6">
        <v>5.95</v>
      </c>
      <c r="DR36" s="6">
        <v>18.61</v>
      </c>
      <c r="DS36" s="30">
        <f t="shared" si="47"/>
        <v>212.77310924369749</v>
      </c>
      <c r="DT36" s="15">
        <v>368.33</v>
      </c>
      <c r="DU36" s="15">
        <v>416.63</v>
      </c>
      <c r="DV36" s="30">
        <f t="shared" si="48"/>
        <v>13.113240843808546</v>
      </c>
      <c r="DW36" s="6">
        <v>0.72499999999999998</v>
      </c>
      <c r="DX36" s="6">
        <v>0.47199999999999998</v>
      </c>
      <c r="DY36" s="30">
        <f t="shared" si="49"/>
        <v>-34.896551724137929</v>
      </c>
      <c r="DZ36" s="6">
        <v>1384147.79</v>
      </c>
      <c r="EA36" s="6">
        <v>2685489.35</v>
      </c>
      <c r="EB36" s="30">
        <f t="shared" si="50"/>
        <v>94.017529732139366</v>
      </c>
      <c r="EC36" s="6">
        <v>3.79</v>
      </c>
      <c r="ED36" s="6">
        <v>8.7100000000000009</v>
      </c>
      <c r="EE36" s="30">
        <f t="shared" si="51"/>
        <v>129.81530343007915</v>
      </c>
      <c r="EF36" s="6">
        <f t="shared" si="67"/>
        <v>201.75777777777776</v>
      </c>
      <c r="EG36" s="6">
        <f t="shared" si="68"/>
        <v>164.4</v>
      </c>
      <c r="EH36" s="6">
        <v>49.33</v>
      </c>
      <c r="EI36" s="6">
        <v>24.86</v>
      </c>
      <c r="EJ36" s="30">
        <f t="shared" si="52"/>
        <v>-49.604703020474354</v>
      </c>
      <c r="EK36" s="6">
        <v>50.81</v>
      </c>
      <c r="EL36" s="6">
        <v>25.2</v>
      </c>
      <c r="EM36" s="30">
        <f t="shared" si="53"/>
        <v>-50.403463885061996</v>
      </c>
    </row>
    <row r="37" spans="1:143">
      <c r="A37" s="5">
        <v>121</v>
      </c>
      <c r="B37" s="6">
        <v>1</v>
      </c>
      <c r="C37" s="6">
        <v>1</v>
      </c>
      <c r="D37" s="6">
        <v>52</v>
      </c>
      <c r="E37" s="6">
        <v>2</v>
      </c>
      <c r="F37" s="6" t="s">
        <v>215</v>
      </c>
      <c r="G37" s="6">
        <v>1</v>
      </c>
      <c r="H37" s="6">
        <v>1</v>
      </c>
      <c r="I37" s="6">
        <v>121.7</v>
      </c>
      <c r="J37" s="6">
        <v>118.5</v>
      </c>
      <c r="K37" s="30">
        <f t="shared" si="18"/>
        <v>-2.6294165981922784</v>
      </c>
      <c r="L37" s="6">
        <v>1.93</v>
      </c>
      <c r="M37" s="6">
        <v>1.93</v>
      </c>
      <c r="N37" s="6">
        <v>32.700000000000003</v>
      </c>
      <c r="O37" s="6">
        <v>31.85</v>
      </c>
      <c r="P37" s="30">
        <f t="shared" si="19"/>
        <v>-2.5993883792048971</v>
      </c>
      <c r="Q37" s="6">
        <v>105</v>
      </c>
      <c r="R37" s="6">
        <v>111</v>
      </c>
      <c r="S37" s="30">
        <f t="shared" si="20"/>
        <v>5.7142857142857144</v>
      </c>
      <c r="T37" s="6">
        <v>122</v>
      </c>
      <c r="U37" s="6">
        <v>118</v>
      </c>
      <c r="V37" s="30">
        <f t="shared" si="21"/>
        <v>-3.278688524590164</v>
      </c>
      <c r="W37" s="6">
        <v>114</v>
      </c>
      <c r="X37" s="6">
        <v>117</v>
      </c>
      <c r="Y37" s="30">
        <f t="shared" si="22"/>
        <v>2.6315789473684208</v>
      </c>
      <c r="Z37" s="6">
        <v>130</v>
      </c>
      <c r="AA37" s="6">
        <v>125</v>
      </c>
      <c r="AB37" s="30">
        <f t="shared" si="23"/>
        <v>-3.8461538461538463</v>
      </c>
      <c r="AC37" s="6">
        <v>90</v>
      </c>
      <c r="AD37" s="6">
        <v>80</v>
      </c>
      <c r="AE37" s="30">
        <f t="shared" si="24"/>
        <v>-11.111111111111111</v>
      </c>
      <c r="AF37" s="6">
        <v>32.1</v>
      </c>
      <c r="AG37" s="6">
        <v>32.1</v>
      </c>
      <c r="AH37" s="30">
        <f t="shared" si="25"/>
        <v>0</v>
      </c>
      <c r="AI37" s="6">
        <v>393</v>
      </c>
      <c r="AJ37" s="6">
        <v>439</v>
      </c>
      <c r="AK37" s="30">
        <f t="shared" si="26"/>
        <v>11.704834605597965</v>
      </c>
      <c r="AL37" s="6">
        <v>42</v>
      </c>
      <c r="AM37" s="6">
        <v>42</v>
      </c>
      <c r="AN37" s="8">
        <v>117</v>
      </c>
      <c r="AO37" s="8">
        <v>109</v>
      </c>
      <c r="AP37" s="30">
        <f t="shared" si="27"/>
        <v>-6.8376068376068382</v>
      </c>
      <c r="AQ37" s="8">
        <v>26</v>
      </c>
      <c r="AR37" s="8">
        <v>33</v>
      </c>
      <c r="AS37" s="30">
        <f t="shared" si="28"/>
        <v>26.923076923076923</v>
      </c>
      <c r="AT37" s="8">
        <v>1.05</v>
      </c>
      <c r="AU37" s="11">
        <v>0.97</v>
      </c>
      <c r="AV37" s="30">
        <f t="shared" si="29"/>
        <v>-7.6190476190476257</v>
      </c>
      <c r="AW37" s="8">
        <v>0.65</v>
      </c>
      <c r="AX37" s="11">
        <v>0.57999999999999996</v>
      </c>
      <c r="AY37" s="30">
        <f t="shared" si="30"/>
        <v>-10.769230769230779</v>
      </c>
      <c r="AZ37" s="8">
        <v>0.12</v>
      </c>
      <c r="BA37" s="11">
        <v>0.11</v>
      </c>
      <c r="BB37" s="30">
        <f t="shared" si="31"/>
        <v>-8.3333333333333304</v>
      </c>
      <c r="BC37" s="8">
        <f t="shared" si="54"/>
        <v>0.53</v>
      </c>
      <c r="BD37" s="7">
        <f t="shared" si="32"/>
        <v>0.47</v>
      </c>
      <c r="BE37" s="30">
        <f t="shared" si="33"/>
        <v>-11.320754716981142</v>
      </c>
      <c r="BF37" s="8">
        <v>39</v>
      </c>
      <c r="BG37" s="8">
        <v>33</v>
      </c>
      <c r="BH37" s="8">
        <v>22</v>
      </c>
      <c r="BI37" s="8">
        <v>19</v>
      </c>
      <c r="BJ37" s="8">
        <v>33</v>
      </c>
      <c r="BK37" s="8">
        <v>24</v>
      </c>
      <c r="BL37" s="8">
        <v>7.2</v>
      </c>
      <c r="BM37" s="9">
        <v>7.8</v>
      </c>
      <c r="BN37" s="30">
        <f t="shared" si="34"/>
        <v>8.3333333333333286</v>
      </c>
      <c r="BO37" s="8">
        <v>7.91</v>
      </c>
      <c r="BP37" s="11">
        <v>7.38</v>
      </c>
      <c r="BQ37" s="30">
        <f t="shared" si="35"/>
        <v>-6.700379266750951</v>
      </c>
      <c r="BR37" s="8">
        <v>4.21</v>
      </c>
      <c r="BS37" s="11">
        <v>4</v>
      </c>
      <c r="BT37" s="30">
        <f t="shared" si="36"/>
        <v>-4.9881235154394288</v>
      </c>
      <c r="BU37" s="8">
        <f t="shared" si="56"/>
        <v>3.7</v>
      </c>
      <c r="BV37" s="7">
        <f t="shared" si="55"/>
        <v>3.38</v>
      </c>
      <c r="BW37" s="30">
        <f t="shared" si="37"/>
        <v>-8.6486486486486562</v>
      </c>
      <c r="BX37" s="8">
        <v>220</v>
      </c>
      <c r="BY37" s="8">
        <v>181</v>
      </c>
      <c r="BZ37" s="30">
        <f t="shared" si="38"/>
        <v>-17.727272727272727</v>
      </c>
      <c r="CA37" s="8">
        <v>39</v>
      </c>
      <c r="CB37" s="8">
        <v>35</v>
      </c>
      <c r="CC37" s="30">
        <f t="shared" si="39"/>
        <v>-10.256410256410255</v>
      </c>
      <c r="CD37" s="8">
        <f t="shared" si="57"/>
        <v>156.6</v>
      </c>
      <c r="CE37" s="7">
        <f t="shared" si="60"/>
        <v>125.2</v>
      </c>
      <c r="CF37" s="30">
        <f t="shared" si="40"/>
        <v>-20.051085568326943</v>
      </c>
      <c r="CG37" s="8">
        <v>122</v>
      </c>
      <c r="CH37" s="8">
        <v>104</v>
      </c>
      <c r="CI37" s="30">
        <f t="shared" si="41"/>
        <v>-14.754098360655737</v>
      </c>
      <c r="CJ37" s="8">
        <v>1.9</v>
      </c>
      <c r="CK37" s="9">
        <v>1</v>
      </c>
      <c r="CL37" s="30">
        <f t="shared" si="42"/>
        <v>-47.368421052631575</v>
      </c>
      <c r="CM37" s="8">
        <v>17.100000000000001</v>
      </c>
      <c r="CN37" s="8">
        <v>16.100000000000001</v>
      </c>
      <c r="CO37" s="30">
        <f t="shared" si="43"/>
        <v>-5.8479532163742682</v>
      </c>
      <c r="CP37" s="8">
        <v>19.5</v>
      </c>
      <c r="CQ37" s="8">
        <v>31.6</v>
      </c>
      <c r="CR37" s="8">
        <v>47.2</v>
      </c>
      <c r="CS37" s="8">
        <v>42.4</v>
      </c>
      <c r="CT37" s="7">
        <f t="shared" si="63"/>
        <v>4.9768656716417921</v>
      </c>
      <c r="CU37" s="7">
        <f t="shared" si="64"/>
        <v>4.3654228855721398</v>
      </c>
      <c r="CV37" s="30">
        <f t="shared" si="44"/>
        <v>-12.28570000499826</v>
      </c>
      <c r="CW37" s="6">
        <f t="shared" si="65"/>
        <v>1.8032786885245902</v>
      </c>
      <c r="CX37" s="6">
        <f t="shared" si="66"/>
        <v>1.7403846153846154</v>
      </c>
      <c r="CY37" s="6">
        <f t="shared" si="58"/>
        <v>1.2836065573770492</v>
      </c>
      <c r="CZ37" s="6">
        <f t="shared" si="61"/>
        <v>1.2038461538461538</v>
      </c>
      <c r="DA37" s="6">
        <f t="shared" si="10"/>
        <v>5.6410256410256414</v>
      </c>
      <c r="DB37" s="6">
        <f t="shared" si="11"/>
        <v>5.1714285714285717</v>
      </c>
      <c r="DC37" s="6">
        <f t="shared" si="59"/>
        <v>4.0153846153846153</v>
      </c>
      <c r="DD37" s="6">
        <f t="shared" si="62"/>
        <v>3.5771428571428574</v>
      </c>
      <c r="DE37" s="6">
        <f t="shared" si="14"/>
        <v>181</v>
      </c>
      <c r="DF37" s="6">
        <f t="shared" si="15"/>
        <v>146</v>
      </c>
      <c r="DG37" s="6">
        <v>35.799999999999997</v>
      </c>
      <c r="DH37" s="6">
        <v>34.9</v>
      </c>
      <c r="DI37" s="6">
        <v>363.74</v>
      </c>
      <c r="DJ37" s="6">
        <v>242.89</v>
      </c>
      <c r="DK37" s="6">
        <v>76.790000000000006</v>
      </c>
      <c r="DL37" s="6">
        <v>74.790000000000006</v>
      </c>
      <c r="DM37" s="30">
        <f t="shared" si="45"/>
        <v>-2.6045057950253936</v>
      </c>
      <c r="DN37" s="6">
        <v>1047.17</v>
      </c>
      <c r="DO37" s="6">
        <v>972.1</v>
      </c>
      <c r="DP37" s="30">
        <f t="shared" si="46"/>
        <v>-7.1688455551629673</v>
      </c>
      <c r="DQ37" s="6">
        <v>6.73</v>
      </c>
      <c r="DR37" s="6">
        <v>6.18</v>
      </c>
      <c r="DS37" s="30">
        <f t="shared" si="47"/>
        <v>-8.1723625557206638</v>
      </c>
      <c r="DT37" s="15">
        <v>404.69</v>
      </c>
      <c r="DU37" s="15">
        <v>505.93</v>
      </c>
      <c r="DV37" s="30">
        <f t="shared" si="48"/>
        <v>25.016679433640565</v>
      </c>
      <c r="DW37" s="6">
        <v>0.39500000000000002</v>
      </c>
      <c r="DX37" s="6">
        <v>0.41299999999999998</v>
      </c>
      <c r="DY37" s="30">
        <f t="shared" si="49"/>
        <v>4.5569620253164453</v>
      </c>
      <c r="DZ37" s="6">
        <v>1840328.15</v>
      </c>
      <c r="EA37" s="6">
        <v>2351084.64</v>
      </c>
      <c r="EB37" s="30">
        <f t="shared" si="50"/>
        <v>27.753555255892827</v>
      </c>
      <c r="EC37" s="6">
        <v>51.67</v>
      </c>
      <c r="ED37" s="6">
        <v>32.200000000000003</v>
      </c>
      <c r="EE37" s="30">
        <f t="shared" si="51"/>
        <v>-37.681439907102764</v>
      </c>
      <c r="EF37" s="6">
        <f t="shared" si="67"/>
        <v>145.44027777777779</v>
      </c>
      <c r="EG37" s="6">
        <f t="shared" si="68"/>
        <v>124.62820512820514</v>
      </c>
      <c r="EH37" s="6">
        <v>38.93</v>
      </c>
      <c r="EI37" s="6">
        <v>41.76</v>
      </c>
      <c r="EJ37" s="30">
        <f t="shared" si="52"/>
        <v>7.2694580015412233</v>
      </c>
      <c r="EK37" s="6">
        <v>103.84</v>
      </c>
      <c r="EL37" s="6">
        <v>29.84</v>
      </c>
      <c r="EM37" s="30">
        <f t="shared" si="53"/>
        <v>-71.263482280431433</v>
      </c>
    </row>
    <row r="38" spans="1:143">
      <c r="A38" s="5">
        <v>124</v>
      </c>
      <c r="B38" s="6">
        <v>1</v>
      </c>
      <c r="C38" s="6">
        <v>1</v>
      </c>
      <c r="D38" s="6">
        <v>39</v>
      </c>
      <c r="E38" s="6">
        <v>1</v>
      </c>
      <c r="F38" s="6" t="s">
        <v>216</v>
      </c>
      <c r="G38" s="6">
        <v>1</v>
      </c>
      <c r="H38" s="6">
        <v>1</v>
      </c>
      <c r="I38" s="6">
        <v>73.900000000000006</v>
      </c>
      <c r="J38" s="6">
        <v>72.599999999999994</v>
      </c>
      <c r="K38" s="30">
        <f t="shared" si="18"/>
        <v>-1.7591339648173361</v>
      </c>
      <c r="L38" s="6">
        <v>1.56</v>
      </c>
      <c r="M38" s="6">
        <v>1.56</v>
      </c>
      <c r="N38" s="6">
        <v>30.4</v>
      </c>
      <c r="O38" s="6">
        <v>29.88</v>
      </c>
      <c r="P38" s="30">
        <f t="shared" si="19"/>
        <v>-1.7105263157894723</v>
      </c>
      <c r="Q38" s="6">
        <v>88</v>
      </c>
      <c r="R38" s="6">
        <v>87</v>
      </c>
      <c r="S38" s="30">
        <f t="shared" si="20"/>
        <v>-1.1363636363636365</v>
      </c>
      <c r="T38" s="6">
        <v>102</v>
      </c>
      <c r="U38" s="6">
        <v>99</v>
      </c>
      <c r="V38" s="30">
        <f t="shared" si="21"/>
        <v>-2.9411764705882351</v>
      </c>
      <c r="W38" s="6">
        <v>113</v>
      </c>
      <c r="X38" s="6">
        <v>113</v>
      </c>
      <c r="Y38" s="30">
        <f t="shared" si="22"/>
        <v>0</v>
      </c>
      <c r="Z38" s="6">
        <v>120</v>
      </c>
      <c r="AA38" s="6">
        <v>115</v>
      </c>
      <c r="AB38" s="30">
        <f t="shared" si="23"/>
        <v>-4.1666666666666661</v>
      </c>
      <c r="AC38" s="6">
        <v>80</v>
      </c>
      <c r="AD38" s="6">
        <v>80</v>
      </c>
      <c r="AE38" s="30">
        <f t="shared" si="24"/>
        <v>0</v>
      </c>
      <c r="AF38" s="6">
        <v>37.299999999999997</v>
      </c>
      <c r="AG38" s="6">
        <v>34</v>
      </c>
      <c r="AH38" s="30">
        <f t="shared" si="25"/>
        <v>-8.8471849865951668</v>
      </c>
      <c r="AI38" s="6">
        <v>483</v>
      </c>
      <c r="AJ38" s="6">
        <v>412</v>
      </c>
      <c r="AK38" s="30">
        <f t="shared" si="26"/>
        <v>-14.699792960662524</v>
      </c>
      <c r="AL38" s="6">
        <v>41</v>
      </c>
      <c r="AM38" s="6">
        <v>34</v>
      </c>
      <c r="AN38" s="8">
        <v>104</v>
      </c>
      <c r="AO38" s="8">
        <v>108</v>
      </c>
      <c r="AP38" s="30">
        <f t="shared" si="27"/>
        <v>3.8461538461538463</v>
      </c>
      <c r="AQ38" s="8">
        <v>17</v>
      </c>
      <c r="AR38" s="8">
        <v>19</v>
      </c>
      <c r="AS38" s="30">
        <f t="shared" si="28"/>
        <v>11.76470588235294</v>
      </c>
      <c r="AT38" s="8">
        <v>0.71</v>
      </c>
      <c r="AU38" s="11">
        <v>0.66</v>
      </c>
      <c r="AV38" s="30">
        <f t="shared" si="29"/>
        <v>-7.0422535211267512</v>
      </c>
      <c r="AW38" s="8">
        <v>0.51</v>
      </c>
      <c r="AX38" s="11">
        <v>0.49</v>
      </c>
      <c r="AY38" s="30">
        <f t="shared" si="30"/>
        <v>-3.9215686274509838</v>
      </c>
      <c r="AZ38" s="8">
        <v>0.12</v>
      </c>
      <c r="BA38" s="11">
        <v>0.12</v>
      </c>
      <c r="BB38" s="30">
        <f t="shared" si="31"/>
        <v>0</v>
      </c>
      <c r="BC38" s="8">
        <f t="shared" si="54"/>
        <v>0.39</v>
      </c>
      <c r="BD38" s="7">
        <f t="shared" si="32"/>
        <v>0.37</v>
      </c>
      <c r="BE38" s="30">
        <f t="shared" si="33"/>
        <v>-5.1282051282051331</v>
      </c>
      <c r="BF38" s="8">
        <v>49</v>
      </c>
      <c r="BG38" s="8">
        <v>43</v>
      </c>
      <c r="BH38" s="8">
        <v>20</v>
      </c>
      <c r="BI38" s="8">
        <v>17</v>
      </c>
      <c r="BJ38" s="8">
        <v>50</v>
      </c>
      <c r="BK38" s="8">
        <v>38</v>
      </c>
      <c r="BL38" s="8">
        <v>4.3</v>
      </c>
      <c r="BM38" s="9">
        <v>4.4000000000000004</v>
      </c>
      <c r="BN38" s="30">
        <f t="shared" si="34"/>
        <v>2.3255813953488498</v>
      </c>
      <c r="BO38" s="8">
        <v>7.51</v>
      </c>
      <c r="BP38" s="11">
        <v>7.01</v>
      </c>
      <c r="BQ38" s="30">
        <f t="shared" si="35"/>
        <v>-6.6577896138482027</v>
      </c>
      <c r="BR38" s="8">
        <v>4.28</v>
      </c>
      <c r="BS38" s="11">
        <v>4.05</v>
      </c>
      <c r="BT38" s="30">
        <f t="shared" si="36"/>
        <v>-5.3738317757009444</v>
      </c>
      <c r="BU38" s="8">
        <f t="shared" si="56"/>
        <v>3.2299999999999995</v>
      </c>
      <c r="BV38" s="7">
        <f t="shared" si="55"/>
        <v>2.96</v>
      </c>
      <c r="BW38" s="30">
        <f t="shared" si="37"/>
        <v>-8.3591331269349727</v>
      </c>
      <c r="BX38" s="8">
        <v>209</v>
      </c>
      <c r="BY38" s="8">
        <v>177</v>
      </c>
      <c r="BZ38" s="30">
        <f t="shared" si="38"/>
        <v>-15.311004784688995</v>
      </c>
      <c r="CA38" s="8">
        <v>52</v>
      </c>
      <c r="CB38" s="8">
        <v>56</v>
      </c>
      <c r="CC38" s="30">
        <f t="shared" si="39"/>
        <v>7.6923076923076925</v>
      </c>
      <c r="CD38" s="8">
        <f t="shared" si="57"/>
        <v>131.6</v>
      </c>
      <c r="CE38" s="7">
        <f t="shared" si="60"/>
        <v>93.4</v>
      </c>
      <c r="CF38" s="30">
        <f t="shared" si="40"/>
        <v>-29.027355623100298</v>
      </c>
      <c r="CG38" s="8">
        <v>127</v>
      </c>
      <c r="CH38" s="8">
        <v>138</v>
      </c>
      <c r="CI38" s="30">
        <f t="shared" si="41"/>
        <v>8.6614173228346463</v>
      </c>
      <c r="CJ38" s="8">
        <v>7</v>
      </c>
      <c r="CK38" s="9">
        <v>4.0999999999999996</v>
      </c>
      <c r="CL38" s="30">
        <f t="shared" si="42"/>
        <v>-41.428571428571431</v>
      </c>
      <c r="CM38" s="8">
        <v>14.1</v>
      </c>
      <c r="CN38" s="8">
        <v>11.4</v>
      </c>
      <c r="CO38" s="30">
        <f t="shared" si="43"/>
        <v>-19.14893617021276</v>
      </c>
      <c r="CP38" s="8">
        <v>15.7</v>
      </c>
      <c r="CQ38" s="8">
        <v>25.4</v>
      </c>
      <c r="CR38" s="8">
        <v>35.700000000000003</v>
      </c>
      <c r="CS38" s="8">
        <v>36.1</v>
      </c>
      <c r="CT38" s="7">
        <f t="shared" si="63"/>
        <v>3.6477611940298504</v>
      </c>
      <c r="CU38" s="7">
        <f t="shared" si="64"/>
        <v>3.0626865671641794</v>
      </c>
      <c r="CV38" s="30">
        <f t="shared" si="44"/>
        <v>-16.039279869067087</v>
      </c>
      <c r="CW38" s="6">
        <f t="shared" si="65"/>
        <v>1.6456692913385826</v>
      </c>
      <c r="CX38" s="6">
        <f t="shared" si="66"/>
        <v>1.2826086956521738</v>
      </c>
      <c r="CY38" s="6">
        <f t="shared" si="58"/>
        <v>1.0362204724409447</v>
      </c>
      <c r="CZ38" s="6">
        <f t="shared" si="61"/>
        <v>0.6768115942028986</v>
      </c>
      <c r="DA38" s="6">
        <f t="shared" si="10"/>
        <v>4.0192307692307692</v>
      </c>
      <c r="DB38" s="6">
        <f t="shared" si="11"/>
        <v>3.1607142857142856</v>
      </c>
      <c r="DC38" s="6">
        <f t="shared" si="59"/>
        <v>2.5307692307692307</v>
      </c>
      <c r="DD38" s="6">
        <f t="shared" si="62"/>
        <v>1.6678571428571429</v>
      </c>
      <c r="DE38" s="6">
        <f t="shared" si="14"/>
        <v>157</v>
      </c>
      <c r="DF38" s="6">
        <f t="shared" si="15"/>
        <v>121</v>
      </c>
      <c r="DG38" s="6">
        <v>24.5</v>
      </c>
      <c r="DH38" s="6"/>
      <c r="DI38" s="6">
        <v>375.11</v>
      </c>
      <c r="DJ38" s="6">
        <v>286.19</v>
      </c>
      <c r="DK38" s="6">
        <v>60.68</v>
      </c>
      <c r="DL38" s="6">
        <v>117.29</v>
      </c>
      <c r="DM38" s="30">
        <f t="shared" si="45"/>
        <v>93.292682926829286</v>
      </c>
      <c r="DN38" s="6">
        <v>975.73</v>
      </c>
      <c r="DO38" s="6">
        <v>870.18</v>
      </c>
      <c r="DP38" s="30">
        <f t="shared" si="46"/>
        <v>-10.8175417379808</v>
      </c>
      <c r="DQ38" s="6">
        <v>4.3899999999999997</v>
      </c>
      <c r="DR38" s="6">
        <v>5.27</v>
      </c>
      <c r="DS38" s="30">
        <f t="shared" si="47"/>
        <v>20.045558086560362</v>
      </c>
      <c r="DT38" s="15">
        <v>428.05</v>
      </c>
      <c r="DU38" s="15">
        <v>499.94</v>
      </c>
      <c r="DV38" s="30">
        <f t="shared" si="48"/>
        <v>16.794766966475873</v>
      </c>
      <c r="DW38" s="6">
        <v>0.52</v>
      </c>
      <c r="DX38" s="6">
        <v>0.43099999999999999</v>
      </c>
      <c r="DY38" s="30">
        <f t="shared" si="49"/>
        <v>-17.115384615384617</v>
      </c>
      <c r="DZ38" s="6">
        <v>1375760.08</v>
      </c>
      <c r="EA38" s="6">
        <v>1140433.3799999999</v>
      </c>
      <c r="EB38" s="30">
        <f t="shared" si="50"/>
        <v>-17.105213577646484</v>
      </c>
      <c r="EC38" s="6">
        <v>1.57</v>
      </c>
      <c r="ED38" s="6">
        <v>1.57</v>
      </c>
      <c r="EE38" s="30">
        <f t="shared" si="51"/>
        <v>0</v>
      </c>
      <c r="EF38" s="6">
        <f t="shared" si="67"/>
        <v>226.9139534883721</v>
      </c>
      <c r="EG38" s="6">
        <f t="shared" si="68"/>
        <v>197.7681818181818</v>
      </c>
      <c r="EH38" s="6">
        <v>44.04</v>
      </c>
      <c r="EI38" s="6">
        <v>42.06</v>
      </c>
      <c r="EJ38" s="30">
        <f t="shared" si="52"/>
        <v>-4.4959128065395024</v>
      </c>
      <c r="EK38" s="6">
        <v>44.99</v>
      </c>
      <c r="EL38" s="6">
        <v>30.48</v>
      </c>
      <c r="EM38" s="30">
        <f t="shared" si="53"/>
        <v>-32.251611469215383</v>
      </c>
    </row>
    <row r="39" spans="1:143">
      <c r="A39" s="5">
        <v>125</v>
      </c>
      <c r="B39" s="6">
        <v>1</v>
      </c>
      <c r="C39" s="6">
        <v>1</v>
      </c>
      <c r="D39" s="6">
        <v>32</v>
      </c>
      <c r="E39" s="6">
        <v>2</v>
      </c>
      <c r="F39" s="6" t="s">
        <v>217</v>
      </c>
      <c r="G39" s="6">
        <v>1</v>
      </c>
      <c r="H39" s="6">
        <v>1</v>
      </c>
      <c r="I39" s="6">
        <v>115.3</v>
      </c>
      <c r="J39" s="6">
        <v>109.5</v>
      </c>
      <c r="K39" s="30">
        <f t="shared" si="18"/>
        <v>-5.030355594102339</v>
      </c>
      <c r="L39" s="6">
        <v>1.81</v>
      </c>
      <c r="M39" s="6">
        <v>1.81</v>
      </c>
      <c r="N39" s="6">
        <v>35.200000000000003</v>
      </c>
      <c r="O39" s="6">
        <v>33.380000000000003</v>
      </c>
      <c r="P39" s="30">
        <f t="shared" si="19"/>
        <v>-5.1704545454545459</v>
      </c>
      <c r="Q39" s="6">
        <v>109</v>
      </c>
      <c r="R39" s="6">
        <v>104</v>
      </c>
      <c r="S39" s="30">
        <f t="shared" si="20"/>
        <v>-4.5871559633027523</v>
      </c>
      <c r="T39" s="6">
        <v>110</v>
      </c>
      <c r="U39" s="6">
        <v>111</v>
      </c>
      <c r="V39" s="30">
        <f t="shared" si="21"/>
        <v>0.90909090909090906</v>
      </c>
      <c r="W39" s="6">
        <v>120</v>
      </c>
      <c r="X39" s="6">
        <v>117</v>
      </c>
      <c r="Y39" s="30">
        <f t="shared" si="22"/>
        <v>-2.5</v>
      </c>
      <c r="Z39" s="6">
        <v>135</v>
      </c>
      <c r="AA39" s="6">
        <v>120</v>
      </c>
      <c r="AB39" s="30">
        <f t="shared" si="23"/>
        <v>-11.111111111111111</v>
      </c>
      <c r="AC39" s="6">
        <v>95</v>
      </c>
      <c r="AD39" s="6">
        <v>80</v>
      </c>
      <c r="AE39" s="30">
        <f t="shared" si="24"/>
        <v>-15.789473684210526</v>
      </c>
      <c r="AF39" s="6">
        <v>22.8</v>
      </c>
      <c r="AG39" s="6">
        <v>24.2</v>
      </c>
      <c r="AH39" s="30">
        <f t="shared" si="25"/>
        <v>6.1403508771929758</v>
      </c>
      <c r="AI39" s="6">
        <v>360</v>
      </c>
      <c r="AJ39" s="6">
        <v>426</v>
      </c>
      <c r="AK39" s="30">
        <f t="shared" si="26"/>
        <v>18.333333333333332</v>
      </c>
      <c r="AL39" s="6">
        <v>42</v>
      </c>
      <c r="AM39" s="6">
        <v>42</v>
      </c>
      <c r="AN39" s="8">
        <v>83</v>
      </c>
      <c r="AO39" s="8">
        <v>83</v>
      </c>
      <c r="AP39" s="30">
        <f t="shared" si="27"/>
        <v>0</v>
      </c>
      <c r="AQ39" s="8">
        <v>26</v>
      </c>
      <c r="AR39" s="8">
        <v>34</v>
      </c>
      <c r="AS39" s="30">
        <f t="shared" si="28"/>
        <v>30.76923076923077</v>
      </c>
      <c r="AT39" s="8">
        <v>1.1299999999999999</v>
      </c>
      <c r="AU39" s="11">
        <v>1.21</v>
      </c>
      <c r="AV39" s="30">
        <f t="shared" si="29"/>
        <v>7.0796460176991216</v>
      </c>
      <c r="AW39" s="8">
        <v>1.24</v>
      </c>
      <c r="AX39" s="11">
        <v>0.61</v>
      </c>
      <c r="AY39" s="30">
        <f t="shared" si="30"/>
        <v>-50.806451612903224</v>
      </c>
      <c r="AZ39" s="8">
        <v>0.22</v>
      </c>
      <c r="BA39" s="11">
        <v>0.11</v>
      </c>
      <c r="BB39" s="30">
        <f t="shared" si="31"/>
        <v>-50</v>
      </c>
      <c r="BC39" s="8">
        <f t="shared" si="54"/>
        <v>1.02</v>
      </c>
      <c r="BD39" s="7">
        <f t="shared" si="32"/>
        <v>0.5</v>
      </c>
      <c r="BE39" s="30">
        <f t="shared" si="33"/>
        <v>-50.980392156862742</v>
      </c>
      <c r="BF39" s="8">
        <v>31</v>
      </c>
      <c r="BG39" s="8">
        <v>30</v>
      </c>
      <c r="BH39" s="8">
        <v>23</v>
      </c>
      <c r="BI39" s="8">
        <v>24</v>
      </c>
      <c r="BJ39" s="8">
        <v>38</v>
      </c>
      <c r="BK39" s="8">
        <v>31</v>
      </c>
      <c r="BL39" s="8">
        <v>4.2</v>
      </c>
      <c r="BM39" s="9">
        <v>4.2</v>
      </c>
      <c r="BN39" s="30">
        <f t="shared" si="34"/>
        <v>0</v>
      </c>
      <c r="BO39" s="8">
        <v>8.39</v>
      </c>
      <c r="BP39" s="11">
        <v>7.68</v>
      </c>
      <c r="BQ39" s="30">
        <f t="shared" si="35"/>
        <v>-8.4624553039332646</v>
      </c>
      <c r="BR39" s="8">
        <v>4.71</v>
      </c>
      <c r="BS39" s="11">
        <v>4.33</v>
      </c>
      <c r="BT39" s="30">
        <f t="shared" si="36"/>
        <v>-8.0679405520169833</v>
      </c>
      <c r="BU39" s="8">
        <f t="shared" si="56"/>
        <v>3.6800000000000006</v>
      </c>
      <c r="BV39" s="7">
        <f t="shared" si="55"/>
        <v>3.3499999999999996</v>
      </c>
      <c r="BW39" s="30">
        <f t="shared" si="37"/>
        <v>-8.967391304347851</v>
      </c>
      <c r="BX39" s="8">
        <v>152</v>
      </c>
      <c r="BY39" s="8">
        <v>151</v>
      </c>
      <c r="BZ39" s="30">
        <f t="shared" si="38"/>
        <v>-0.6578947368421052</v>
      </c>
      <c r="CA39" s="8">
        <v>30</v>
      </c>
      <c r="CB39" s="8">
        <v>30</v>
      </c>
      <c r="CC39" s="30">
        <f t="shared" si="39"/>
        <v>0</v>
      </c>
      <c r="CD39" s="8">
        <f t="shared" si="57"/>
        <v>86.2</v>
      </c>
      <c r="CE39" s="7">
        <f t="shared" si="60"/>
        <v>83.8</v>
      </c>
      <c r="CF39" s="30">
        <f t="shared" si="40"/>
        <v>-2.7842227378190318</v>
      </c>
      <c r="CG39" s="8">
        <v>179</v>
      </c>
      <c r="CH39" s="8">
        <v>186</v>
      </c>
      <c r="CI39" s="30">
        <f t="shared" si="41"/>
        <v>3.9106145251396649</v>
      </c>
      <c r="CJ39" s="8">
        <v>5.2</v>
      </c>
      <c r="CK39" s="9">
        <v>1.9</v>
      </c>
      <c r="CL39" s="30">
        <f t="shared" si="42"/>
        <v>-63.461538461538467</v>
      </c>
      <c r="CM39" s="8">
        <v>7</v>
      </c>
      <c r="CN39" s="8">
        <v>9.5</v>
      </c>
      <c r="CO39" s="30">
        <f t="shared" si="43"/>
        <v>35.714285714285715</v>
      </c>
      <c r="CP39" s="8">
        <v>24.5</v>
      </c>
      <c r="CQ39" s="8">
        <v>31.8</v>
      </c>
      <c r="CR39" s="8">
        <v>51.4</v>
      </c>
      <c r="CS39" s="8">
        <v>61.1</v>
      </c>
      <c r="CT39" s="7">
        <f t="shared" si="63"/>
        <v>1.4452736318407959</v>
      </c>
      <c r="CU39" s="7">
        <f t="shared" si="64"/>
        <v>1.9614427860696517</v>
      </c>
      <c r="CV39" s="30">
        <f t="shared" si="44"/>
        <v>35.714285714285722</v>
      </c>
      <c r="CW39" s="6">
        <f t="shared" si="65"/>
        <v>0.84916201117318435</v>
      </c>
      <c r="CX39" s="6">
        <f t="shared" si="66"/>
        <v>0.81182795698924726</v>
      </c>
      <c r="CY39" s="6">
        <f t="shared" si="58"/>
        <v>0.48156424581005586</v>
      </c>
      <c r="CZ39" s="6">
        <f t="shared" si="61"/>
        <v>0.45053763440860212</v>
      </c>
      <c r="DA39" s="6">
        <f t="shared" si="10"/>
        <v>5.0666666666666664</v>
      </c>
      <c r="DB39" s="6">
        <f t="shared" si="11"/>
        <v>5.0333333333333332</v>
      </c>
      <c r="DC39" s="6">
        <f t="shared" si="59"/>
        <v>2.8733333333333335</v>
      </c>
      <c r="DD39" s="6">
        <f t="shared" si="62"/>
        <v>2.7933333333333334</v>
      </c>
      <c r="DE39" s="6">
        <f t="shared" si="14"/>
        <v>122</v>
      </c>
      <c r="DF39" s="6">
        <f t="shared" si="15"/>
        <v>121</v>
      </c>
      <c r="DG39" s="6">
        <v>35.5</v>
      </c>
      <c r="DH39" s="6"/>
      <c r="DI39" s="6">
        <v>500.14</v>
      </c>
      <c r="DJ39" s="6">
        <v>315.32</v>
      </c>
      <c r="DK39" s="6">
        <v>89.22</v>
      </c>
      <c r="DL39" s="6">
        <v>116.56</v>
      </c>
      <c r="DM39" s="30">
        <f t="shared" si="45"/>
        <v>30.643353508182024</v>
      </c>
      <c r="DN39" s="6">
        <v>770.74</v>
      </c>
      <c r="DO39" s="6">
        <v>916.87</v>
      </c>
      <c r="DP39" s="30">
        <f t="shared" si="46"/>
        <v>18.959701066507513</v>
      </c>
      <c r="DQ39" s="6">
        <v>6.58</v>
      </c>
      <c r="DR39" s="6">
        <v>6.08</v>
      </c>
      <c r="DS39" s="30">
        <f t="shared" si="47"/>
        <v>-7.598784194528875</v>
      </c>
      <c r="DT39" s="15">
        <v>316.8</v>
      </c>
      <c r="DU39" s="15">
        <v>372.9</v>
      </c>
      <c r="DV39" s="30">
        <f t="shared" si="48"/>
        <v>17.708333333333321</v>
      </c>
      <c r="DW39" s="6">
        <v>0.56999999999999995</v>
      </c>
      <c r="DX39" s="6">
        <v>0.38900000000000001</v>
      </c>
      <c r="DY39" s="30">
        <f t="shared" si="49"/>
        <v>-31.754385964912274</v>
      </c>
      <c r="DZ39" s="6">
        <v>3438792.53</v>
      </c>
      <c r="EA39" s="6">
        <v>1750641.06</v>
      </c>
      <c r="EB39" s="30">
        <f t="shared" si="50"/>
        <v>-49.091402149812154</v>
      </c>
      <c r="EC39" s="6">
        <v>4.3099999999999996</v>
      </c>
      <c r="ED39" s="6">
        <v>4.3099999999999996</v>
      </c>
      <c r="EE39" s="30">
        <f t="shared" si="51"/>
        <v>0</v>
      </c>
      <c r="EF39" s="6">
        <f t="shared" si="67"/>
        <v>183.50952380952381</v>
      </c>
      <c r="EG39" s="6">
        <f t="shared" si="68"/>
        <v>218.30238095238096</v>
      </c>
      <c r="EH39" s="6">
        <v>45.22</v>
      </c>
      <c r="EI39" s="6">
        <v>43.8</v>
      </c>
      <c r="EJ39" s="30">
        <f t="shared" si="52"/>
        <v>-3.1402034498009765</v>
      </c>
      <c r="EK39" s="6">
        <v>48.85</v>
      </c>
      <c r="EL39" s="6">
        <v>24.06</v>
      </c>
      <c r="EM39" s="30">
        <f t="shared" si="53"/>
        <v>-50.747185261003068</v>
      </c>
    </row>
    <row r="40" spans="1:143">
      <c r="A40" s="16">
        <v>8</v>
      </c>
      <c r="B40" s="16">
        <v>2</v>
      </c>
      <c r="C40" s="16">
        <v>1</v>
      </c>
      <c r="D40" s="16">
        <v>58</v>
      </c>
      <c r="E40" s="16">
        <v>1</v>
      </c>
      <c r="F40" s="16" t="s">
        <v>218</v>
      </c>
      <c r="G40" s="16">
        <v>1</v>
      </c>
      <c r="H40" s="16">
        <v>1</v>
      </c>
      <c r="I40" s="16">
        <v>96.5</v>
      </c>
      <c r="J40" s="16">
        <v>98.3</v>
      </c>
      <c r="K40" s="30">
        <f t="shared" si="18"/>
        <v>1.8652849740932613</v>
      </c>
      <c r="L40" s="16">
        <v>1.65</v>
      </c>
      <c r="M40" s="16">
        <v>1.65</v>
      </c>
      <c r="N40" s="16">
        <v>35.479999999999997</v>
      </c>
      <c r="O40" s="16">
        <v>36.14</v>
      </c>
      <c r="P40" s="30">
        <f t="shared" si="19"/>
        <v>1.8602029312288719</v>
      </c>
      <c r="Q40" s="16">
        <v>105</v>
      </c>
      <c r="R40" s="16">
        <v>109</v>
      </c>
      <c r="S40" s="30">
        <f t="shared" si="20"/>
        <v>3.8095238095238098</v>
      </c>
      <c r="T40" s="16">
        <v>108</v>
      </c>
      <c r="U40" s="16">
        <v>116</v>
      </c>
      <c r="V40" s="30">
        <f t="shared" si="21"/>
        <v>7.4074074074074066</v>
      </c>
      <c r="W40" s="16">
        <v>120</v>
      </c>
      <c r="X40" s="16">
        <v>120</v>
      </c>
      <c r="Y40" s="30">
        <f t="shared" si="22"/>
        <v>0</v>
      </c>
      <c r="Z40" s="16">
        <v>115</v>
      </c>
      <c r="AA40" s="16">
        <v>120</v>
      </c>
      <c r="AB40" s="30">
        <f t="shared" si="23"/>
        <v>4.3478260869565215</v>
      </c>
      <c r="AC40" s="16">
        <v>85</v>
      </c>
      <c r="AD40" s="16">
        <v>90</v>
      </c>
      <c r="AE40" s="30">
        <f t="shared" si="24"/>
        <v>5.8823529411764701</v>
      </c>
      <c r="AF40" s="16">
        <v>46.4</v>
      </c>
      <c r="AG40" s="16">
        <v>47</v>
      </c>
      <c r="AH40" s="30">
        <f t="shared" si="25"/>
        <v>1.2931034482758652</v>
      </c>
      <c r="AI40" s="16">
        <v>458</v>
      </c>
      <c r="AJ40" s="16">
        <v>452</v>
      </c>
      <c r="AK40" s="30">
        <f t="shared" si="26"/>
        <v>-1.3100436681222707</v>
      </c>
      <c r="AL40" s="16">
        <v>46</v>
      </c>
      <c r="AM40" s="16">
        <v>46</v>
      </c>
      <c r="AN40" s="17">
        <v>99</v>
      </c>
      <c r="AO40" s="18">
        <v>102</v>
      </c>
      <c r="AP40" s="30">
        <f t="shared" si="27"/>
        <v>3.0303030303030303</v>
      </c>
      <c r="AQ40" s="17">
        <v>33</v>
      </c>
      <c r="AR40" s="18">
        <v>28</v>
      </c>
      <c r="AS40" s="30">
        <f t="shared" si="28"/>
        <v>-15.151515151515152</v>
      </c>
      <c r="AT40" s="17">
        <v>0.83</v>
      </c>
      <c r="AU40" s="18">
        <v>0.79</v>
      </c>
      <c r="AV40" s="30">
        <f t="shared" si="29"/>
        <v>-4.8192771084337265</v>
      </c>
      <c r="AW40" s="17">
        <v>0.86</v>
      </c>
      <c r="AX40" s="18">
        <v>1.1000000000000001</v>
      </c>
      <c r="AY40" s="30">
        <f t="shared" si="30"/>
        <v>27.906976744186057</v>
      </c>
      <c r="AZ40" s="17">
        <v>0.21</v>
      </c>
      <c r="BA40" s="18">
        <v>0.23</v>
      </c>
      <c r="BB40" s="30">
        <f t="shared" si="31"/>
        <v>9.5238095238095326</v>
      </c>
      <c r="BC40" s="17"/>
      <c r="BD40" s="17">
        <f t="shared" si="32"/>
        <v>0.87000000000000011</v>
      </c>
      <c r="BE40" s="30" t="e">
        <f t="shared" si="33"/>
        <v>#DIV/0!</v>
      </c>
      <c r="BF40" s="17">
        <v>25</v>
      </c>
      <c r="BG40" s="18">
        <v>28</v>
      </c>
      <c r="BH40" s="17">
        <v>14</v>
      </c>
      <c r="BI40" s="18">
        <v>19</v>
      </c>
      <c r="BJ40" s="17">
        <v>22</v>
      </c>
      <c r="BK40" s="18">
        <v>26</v>
      </c>
      <c r="BL40" s="17">
        <v>5.6</v>
      </c>
      <c r="BM40" s="18">
        <v>5.7</v>
      </c>
      <c r="BN40" s="30">
        <f t="shared" si="34"/>
        <v>1.7857142857142954</v>
      </c>
      <c r="BO40" s="17">
        <v>7.68</v>
      </c>
      <c r="BP40" s="18">
        <v>7.25</v>
      </c>
      <c r="BQ40" s="30">
        <f t="shared" si="35"/>
        <v>-5.5989583333333304</v>
      </c>
      <c r="BR40" s="17">
        <v>4.32</v>
      </c>
      <c r="BS40" s="18">
        <v>4.1500000000000004</v>
      </c>
      <c r="BT40" s="30">
        <f t="shared" si="36"/>
        <v>-3.9351851851851833</v>
      </c>
      <c r="BU40" s="17"/>
      <c r="BV40" s="17">
        <f t="shared" si="55"/>
        <v>3.0999999999999996</v>
      </c>
      <c r="BW40" s="30"/>
      <c r="BX40" s="17">
        <v>188</v>
      </c>
      <c r="BY40" s="18">
        <v>156</v>
      </c>
      <c r="BZ40" s="30">
        <f t="shared" si="38"/>
        <v>-17.021276595744681</v>
      </c>
      <c r="CA40" s="17">
        <v>47</v>
      </c>
      <c r="CB40" s="18">
        <v>41</v>
      </c>
      <c r="CC40" s="30">
        <f t="shared" si="39"/>
        <v>-12.76595744680851</v>
      </c>
      <c r="CD40" s="17">
        <f t="shared" si="57"/>
        <v>121.4</v>
      </c>
      <c r="CE40" s="17">
        <f t="shared" si="60"/>
        <v>95.6</v>
      </c>
      <c r="CF40" s="30">
        <f t="shared" si="40"/>
        <v>-21.252059308072496</v>
      </c>
      <c r="CG40" s="17">
        <v>98</v>
      </c>
      <c r="CH40" s="18">
        <v>97</v>
      </c>
      <c r="CI40" s="30">
        <f t="shared" si="41"/>
        <v>-1.0204081632653061</v>
      </c>
      <c r="CJ40" s="17">
        <v>2</v>
      </c>
      <c r="CK40" s="18">
        <v>1.3</v>
      </c>
      <c r="CL40" s="30">
        <f t="shared" si="42"/>
        <v>-35</v>
      </c>
      <c r="CM40" s="17">
        <v>9.6</v>
      </c>
      <c r="CN40" s="18">
        <v>12.4</v>
      </c>
      <c r="CO40" s="30">
        <f t="shared" si="43"/>
        <v>29.166666666666675</v>
      </c>
      <c r="CP40" s="17">
        <v>23</v>
      </c>
      <c r="CQ40" s="18">
        <v>65.3</v>
      </c>
      <c r="CR40" s="17">
        <v>20.8</v>
      </c>
      <c r="CS40" s="18">
        <v>18.5</v>
      </c>
      <c r="CT40" s="17">
        <f t="shared" si="63"/>
        <v>2.3641791044776119</v>
      </c>
      <c r="CU40" s="17">
        <f t="shared" si="64"/>
        <v>3.1462686567164178</v>
      </c>
      <c r="CV40" s="30">
        <f t="shared" si="44"/>
        <v>33.080808080808076</v>
      </c>
      <c r="CW40" s="19">
        <f t="shared" si="65"/>
        <v>1.9183673469387754</v>
      </c>
      <c r="CX40" s="20">
        <f t="shared" si="66"/>
        <v>1.6082474226804124</v>
      </c>
      <c r="CY40" s="19">
        <f t="shared" si="58"/>
        <v>1.2387755102040816</v>
      </c>
      <c r="CZ40" s="20">
        <f t="shared" si="61"/>
        <v>0.98556701030927829</v>
      </c>
      <c r="DA40" s="19">
        <f>BX40/CA40</f>
        <v>4</v>
      </c>
      <c r="DB40" s="20">
        <f t="shared" ref="DB40:DB80" si="69">BY40/CB40</f>
        <v>3.8048780487804876</v>
      </c>
      <c r="DC40" s="19">
        <f t="shared" si="59"/>
        <v>2.5829787234042554</v>
      </c>
      <c r="DD40" s="20">
        <f t="shared" ref="DD40:DD80" si="70">CE40/CB40</f>
        <v>2.3317073170731706</v>
      </c>
      <c r="DE40" s="19">
        <f>BX40-CA40</f>
        <v>141</v>
      </c>
      <c r="DF40" s="20">
        <f t="shared" ref="DF40:DF80" si="71">BY40-CB40</f>
        <v>115</v>
      </c>
      <c r="DG40" s="19" t="s">
        <v>219</v>
      </c>
      <c r="DH40" s="16">
        <v>32.1</v>
      </c>
      <c r="DI40" s="19" t="s">
        <v>220</v>
      </c>
      <c r="DJ40" s="16">
        <v>346.88</v>
      </c>
      <c r="DK40" s="19" t="s">
        <v>221</v>
      </c>
      <c r="DL40" s="16">
        <v>76.319999999999993</v>
      </c>
      <c r="DM40" s="30">
        <f t="shared" si="45"/>
        <v>0</v>
      </c>
      <c r="DN40" s="19">
        <v>976.19</v>
      </c>
      <c r="DO40" s="16">
        <v>1098.05</v>
      </c>
      <c r="DP40" s="30">
        <f t="shared" si="46"/>
        <v>12.483225601573453</v>
      </c>
      <c r="DQ40" s="19" t="s">
        <v>222</v>
      </c>
      <c r="DR40" s="16">
        <v>10.62</v>
      </c>
      <c r="DS40" s="30">
        <f t="shared" si="47"/>
        <v>21.232876712328761</v>
      </c>
      <c r="DT40" s="21">
        <v>422.72</v>
      </c>
      <c r="DU40" s="16">
        <v>599.79</v>
      </c>
      <c r="DV40" s="30">
        <f t="shared" si="48"/>
        <v>41.888247539742601</v>
      </c>
      <c r="DW40" s="19">
        <v>0.44600000000000001</v>
      </c>
      <c r="DX40" s="16">
        <v>0.71599999999999997</v>
      </c>
      <c r="DY40" s="30">
        <f t="shared" si="49"/>
        <v>60.538116591928237</v>
      </c>
      <c r="DZ40" s="19">
        <v>547326.54</v>
      </c>
      <c r="EA40" s="16">
        <v>2955610.5</v>
      </c>
      <c r="EB40" s="30">
        <f t="shared" si="50"/>
        <v>440.0086208134544</v>
      </c>
      <c r="EC40" s="19">
        <v>2.2599999999999998</v>
      </c>
      <c r="ED40" s="16">
        <v>1.57</v>
      </c>
      <c r="EE40" s="30">
        <f t="shared" si="51"/>
        <v>-30.530973451327426</v>
      </c>
      <c r="EF40" s="19">
        <f t="shared" si="67"/>
        <v>174.31964285714287</v>
      </c>
      <c r="EG40" s="20">
        <f t="shared" si="68"/>
        <v>192.64035087719296</v>
      </c>
      <c r="EH40" s="16">
        <v>40.29</v>
      </c>
      <c r="EI40" s="16">
        <v>46.1</v>
      </c>
      <c r="EJ40" s="30">
        <f t="shared" si="52"/>
        <v>14.420451724993802</v>
      </c>
      <c r="EK40" s="16">
        <v>54.93</v>
      </c>
      <c r="EL40" s="16">
        <v>41.88</v>
      </c>
      <c r="EM40" s="30">
        <f t="shared" si="53"/>
        <v>-23.757509557618782</v>
      </c>
    </row>
    <row r="41" spans="1:143">
      <c r="A41" s="16">
        <v>9</v>
      </c>
      <c r="B41" s="16">
        <v>2</v>
      </c>
      <c r="C41" s="16">
        <v>1</v>
      </c>
      <c r="D41" s="16">
        <v>39</v>
      </c>
      <c r="E41" s="16">
        <v>2</v>
      </c>
      <c r="F41" s="16" t="s">
        <v>223</v>
      </c>
      <c r="G41" s="16">
        <v>1</v>
      </c>
      <c r="H41" s="16">
        <v>1</v>
      </c>
      <c r="I41" s="16">
        <v>92.7</v>
      </c>
      <c r="J41" s="16">
        <v>98.5</v>
      </c>
      <c r="K41" s="30">
        <f t="shared" si="18"/>
        <v>6.2567421790722735</v>
      </c>
      <c r="L41" s="16">
        <v>1.68</v>
      </c>
      <c r="M41" s="16">
        <v>1.68</v>
      </c>
      <c r="N41" s="16">
        <v>32.869999999999997</v>
      </c>
      <c r="O41" s="16">
        <v>34.9</v>
      </c>
      <c r="P41" s="30">
        <f t="shared" si="19"/>
        <v>6.1758442348646216</v>
      </c>
      <c r="Q41" s="16">
        <v>98</v>
      </c>
      <c r="R41" s="16">
        <v>100</v>
      </c>
      <c r="S41" s="30">
        <f t="shared" si="20"/>
        <v>2.0408163265306123</v>
      </c>
      <c r="T41" s="16">
        <v>108</v>
      </c>
      <c r="U41" s="16">
        <v>108</v>
      </c>
      <c r="V41" s="30">
        <f t="shared" si="21"/>
        <v>0</v>
      </c>
      <c r="W41" s="16">
        <v>106</v>
      </c>
      <c r="X41" s="16">
        <v>107</v>
      </c>
      <c r="Y41" s="30">
        <f t="shared" si="22"/>
        <v>0.94339622641509435</v>
      </c>
      <c r="Z41" s="16">
        <v>115</v>
      </c>
      <c r="AA41" s="16">
        <v>110</v>
      </c>
      <c r="AB41" s="30">
        <f t="shared" si="23"/>
        <v>-4.3478260869565215</v>
      </c>
      <c r="AC41" s="16">
        <v>80</v>
      </c>
      <c r="AD41" s="16">
        <v>80</v>
      </c>
      <c r="AE41" s="30">
        <f t="shared" si="24"/>
        <v>0</v>
      </c>
      <c r="AF41" s="16">
        <v>40.26</v>
      </c>
      <c r="AG41" s="16">
        <v>33.1</v>
      </c>
      <c r="AH41" s="30">
        <f t="shared" si="25"/>
        <v>-17.784401390958759</v>
      </c>
      <c r="AI41" s="16">
        <v>440</v>
      </c>
      <c r="AJ41" s="16">
        <v>389</v>
      </c>
      <c r="AK41" s="30">
        <f t="shared" si="26"/>
        <v>-11.59090909090909</v>
      </c>
      <c r="AL41" s="16">
        <v>42</v>
      </c>
      <c r="AM41" s="16">
        <v>43</v>
      </c>
      <c r="AN41" s="17">
        <v>111</v>
      </c>
      <c r="AO41" s="18">
        <v>105</v>
      </c>
      <c r="AP41" s="30">
        <f t="shared" si="27"/>
        <v>-5.4054054054054053</v>
      </c>
      <c r="AQ41" s="17">
        <v>28</v>
      </c>
      <c r="AR41" s="18">
        <v>32</v>
      </c>
      <c r="AS41" s="30">
        <f t="shared" si="28"/>
        <v>14.285714285714285</v>
      </c>
      <c r="AT41" s="17">
        <v>0.69</v>
      </c>
      <c r="AU41" s="22">
        <v>1</v>
      </c>
      <c r="AV41" s="30">
        <f t="shared" si="29"/>
        <v>44.927536231884069</v>
      </c>
      <c r="AW41" s="17">
        <v>0.52</v>
      </c>
      <c r="AX41" s="22">
        <v>0.42</v>
      </c>
      <c r="AY41" s="30">
        <f t="shared" si="30"/>
        <v>-19.230769230769237</v>
      </c>
      <c r="AZ41" s="17">
        <v>0.12</v>
      </c>
      <c r="BA41" s="22">
        <v>0.18</v>
      </c>
      <c r="BB41" s="30">
        <f t="shared" si="31"/>
        <v>50</v>
      </c>
      <c r="BC41" s="17">
        <f t="shared" ref="BC41:BC80" si="72">AW41-AZ41</f>
        <v>0.4</v>
      </c>
      <c r="BD41" s="17">
        <f t="shared" si="32"/>
        <v>0.24</v>
      </c>
      <c r="BE41" s="30">
        <f t="shared" si="33"/>
        <v>-40.000000000000007</v>
      </c>
      <c r="BF41" s="17">
        <v>63</v>
      </c>
      <c r="BG41" s="18">
        <v>61</v>
      </c>
      <c r="BH41" s="17">
        <v>15</v>
      </c>
      <c r="BI41" s="18">
        <v>28</v>
      </c>
      <c r="BJ41" s="17">
        <v>33</v>
      </c>
      <c r="BK41" s="18">
        <v>34</v>
      </c>
      <c r="BL41" s="17">
        <v>6.5</v>
      </c>
      <c r="BM41" s="23">
        <v>7.3</v>
      </c>
      <c r="BN41" s="30">
        <f t="shared" si="34"/>
        <v>12.307692307692305</v>
      </c>
      <c r="BO41" s="17">
        <v>8.11</v>
      </c>
      <c r="BP41" s="22">
        <v>6.86</v>
      </c>
      <c r="BQ41" s="30">
        <f t="shared" si="35"/>
        <v>-15.413070283600483</v>
      </c>
      <c r="BR41" s="17">
        <v>4.38</v>
      </c>
      <c r="BS41" s="22">
        <v>3.92</v>
      </c>
      <c r="BT41" s="30">
        <f t="shared" si="36"/>
        <v>-10.50228310502283</v>
      </c>
      <c r="BU41" s="17">
        <f t="shared" ref="BU41:BU63" si="73">BO41-BR41</f>
        <v>3.7299999999999995</v>
      </c>
      <c r="BV41" s="17">
        <f t="shared" si="55"/>
        <v>2.9400000000000004</v>
      </c>
      <c r="BW41" s="30">
        <f t="shared" si="37"/>
        <v>-21.179624664879338</v>
      </c>
      <c r="BX41" s="17">
        <v>177</v>
      </c>
      <c r="BY41" s="18">
        <v>127</v>
      </c>
      <c r="BZ41" s="30">
        <f t="shared" si="38"/>
        <v>-28.248587570621471</v>
      </c>
      <c r="CA41" s="17">
        <v>37</v>
      </c>
      <c r="CB41" s="18">
        <v>38</v>
      </c>
      <c r="CC41" s="30">
        <f t="shared" si="39"/>
        <v>2.7027027027027026</v>
      </c>
      <c r="CD41" s="17">
        <f t="shared" si="57"/>
        <v>105.2</v>
      </c>
      <c r="CE41" s="17">
        <f t="shared" si="60"/>
        <v>42.2</v>
      </c>
      <c r="CF41" s="30">
        <f t="shared" si="40"/>
        <v>-59.885931558935354</v>
      </c>
      <c r="CG41" s="17">
        <v>174</v>
      </c>
      <c r="CH41" s="18">
        <v>234</v>
      </c>
      <c r="CI41" s="30">
        <f t="shared" si="41"/>
        <v>34.482758620689658</v>
      </c>
      <c r="CJ41" s="17">
        <v>2.9</v>
      </c>
      <c r="CK41" s="23">
        <v>3.6</v>
      </c>
      <c r="CL41" s="30">
        <f t="shared" si="42"/>
        <v>24.137931034482765</v>
      </c>
      <c r="CM41" s="17">
        <v>16.3</v>
      </c>
      <c r="CN41" s="18">
        <v>18.7</v>
      </c>
      <c r="CO41" s="30">
        <f t="shared" si="43"/>
        <v>14.723926380368088</v>
      </c>
      <c r="CP41" s="17">
        <v>25</v>
      </c>
      <c r="CQ41" s="18">
        <v>31</v>
      </c>
      <c r="CR41" s="17">
        <v>20.6</v>
      </c>
      <c r="CS41" s="18">
        <v>29.5</v>
      </c>
      <c r="CT41" s="17">
        <f t="shared" si="63"/>
        <v>4.5007462686567168</v>
      </c>
      <c r="CU41" s="17">
        <f t="shared" si="64"/>
        <v>4.8843283582089549</v>
      </c>
      <c r="CV41" s="30">
        <f t="shared" si="44"/>
        <v>8.5226330625103479</v>
      </c>
      <c r="CW41" s="19">
        <f t="shared" si="65"/>
        <v>1.0172413793103448</v>
      </c>
      <c r="CX41" s="20">
        <f t="shared" si="66"/>
        <v>0.54273504273504269</v>
      </c>
      <c r="CY41" s="19">
        <f t="shared" si="58"/>
        <v>0.60459770114942535</v>
      </c>
      <c r="CZ41" s="20">
        <f t="shared" si="61"/>
        <v>0.18034188034188037</v>
      </c>
      <c r="DA41" s="19">
        <f t="shared" ref="DA41:DA80" si="74">BX41/CA41</f>
        <v>4.7837837837837842</v>
      </c>
      <c r="DB41" s="20">
        <f t="shared" si="69"/>
        <v>3.3421052631578947</v>
      </c>
      <c r="DC41" s="19">
        <f t="shared" ref="DC41:DC80" si="75">CD41/CA41</f>
        <v>2.8432432432432435</v>
      </c>
      <c r="DD41" s="20">
        <f t="shared" si="70"/>
        <v>1.1105263157894738</v>
      </c>
      <c r="DE41" s="19">
        <f t="shared" ref="DE41:DE80" si="76">BX41-CA41</f>
        <v>140</v>
      </c>
      <c r="DF41" s="20">
        <f t="shared" si="71"/>
        <v>89</v>
      </c>
      <c r="DG41" s="19" t="s">
        <v>224</v>
      </c>
      <c r="DH41" s="16">
        <v>38.200000000000003</v>
      </c>
      <c r="DI41" s="19" t="s">
        <v>225</v>
      </c>
      <c r="DJ41" s="16">
        <v>293.89999999999998</v>
      </c>
      <c r="DK41" s="19" t="s">
        <v>226</v>
      </c>
      <c r="DL41" s="16">
        <v>168.8</v>
      </c>
      <c r="DM41" s="30">
        <f t="shared" si="45"/>
        <v>-15.235512704629897</v>
      </c>
      <c r="DN41" s="19">
        <v>1210.8399999999999</v>
      </c>
      <c r="DO41" s="16">
        <v>1108.33</v>
      </c>
      <c r="DP41" s="30">
        <f t="shared" si="46"/>
        <v>-8.4660235869313851</v>
      </c>
      <c r="DQ41" s="19" t="s">
        <v>227</v>
      </c>
      <c r="DR41" s="16">
        <v>9.74</v>
      </c>
      <c r="DS41" s="30">
        <f t="shared" si="47"/>
        <v>62.876254180601997</v>
      </c>
      <c r="DT41" s="21">
        <v>170.2</v>
      </c>
      <c r="DU41" s="16">
        <v>445.99</v>
      </c>
      <c r="DV41" s="30">
        <f t="shared" si="48"/>
        <v>162.03877790834315</v>
      </c>
      <c r="DW41" s="19">
        <v>0.46899999999999997</v>
      </c>
      <c r="DX41" s="16">
        <v>0.45800000000000002</v>
      </c>
      <c r="DY41" s="30">
        <f t="shared" si="49"/>
        <v>-2.3454157782515894</v>
      </c>
      <c r="DZ41" s="19">
        <v>554559.1</v>
      </c>
      <c r="EA41" s="16">
        <v>2405775.4300000002</v>
      </c>
      <c r="EB41" s="30">
        <f t="shared" si="50"/>
        <v>333.81768146983796</v>
      </c>
      <c r="EC41" s="19">
        <v>1.23</v>
      </c>
      <c r="ED41" s="16">
        <v>2.77</v>
      </c>
      <c r="EE41" s="30">
        <f t="shared" si="51"/>
        <v>125.20325203252034</v>
      </c>
      <c r="EF41" s="19">
        <f t="shared" si="67"/>
        <v>186.28307692307692</v>
      </c>
      <c r="EG41" s="20">
        <f t="shared" si="68"/>
        <v>151.82602739726028</v>
      </c>
      <c r="EH41" s="16">
        <v>38.11</v>
      </c>
      <c r="EI41" s="16">
        <v>41.46</v>
      </c>
      <c r="EJ41" s="30">
        <f t="shared" si="52"/>
        <v>8.7903437418000561</v>
      </c>
      <c r="EK41" s="16">
        <v>58.12</v>
      </c>
      <c r="EL41" s="16">
        <v>43.26</v>
      </c>
      <c r="EM41" s="30">
        <f t="shared" si="53"/>
        <v>-25.567790777701312</v>
      </c>
    </row>
    <row r="42" spans="1:143">
      <c r="A42" s="16">
        <v>10</v>
      </c>
      <c r="B42" s="16">
        <v>2</v>
      </c>
      <c r="C42" s="16">
        <v>1</v>
      </c>
      <c r="D42" s="16">
        <v>48</v>
      </c>
      <c r="E42" s="16">
        <v>1</v>
      </c>
      <c r="F42" s="16" t="s">
        <v>228</v>
      </c>
      <c r="G42" s="16">
        <v>1</v>
      </c>
      <c r="H42" s="16">
        <v>1</v>
      </c>
      <c r="I42" s="16">
        <v>105.7</v>
      </c>
      <c r="J42" s="16">
        <v>108.8</v>
      </c>
      <c r="K42" s="30">
        <f t="shared" si="18"/>
        <v>2.932828760643325</v>
      </c>
      <c r="L42" s="16">
        <v>1.63</v>
      </c>
      <c r="M42" s="16">
        <v>1.63</v>
      </c>
      <c r="N42" s="16">
        <v>39.880000000000003</v>
      </c>
      <c r="O42" s="16">
        <v>41.05</v>
      </c>
      <c r="P42" s="30">
        <f t="shared" si="19"/>
        <v>2.9338014042126241</v>
      </c>
      <c r="Q42" s="16">
        <v>102</v>
      </c>
      <c r="R42" s="16">
        <v>104</v>
      </c>
      <c r="S42" s="30">
        <f t="shared" si="20"/>
        <v>1.9607843137254901</v>
      </c>
      <c r="T42" s="16">
        <v>106</v>
      </c>
      <c r="U42" s="16">
        <v>109</v>
      </c>
      <c r="V42" s="30">
        <f t="shared" si="21"/>
        <v>2.8301886792452833</v>
      </c>
      <c r="W42" s="16">
        <v>124</v>
      </c>
      <c r="X42" s="16">
        <v>128</v>
      </c>
      <c r="Y42" s="30">
        <f t="shared" si="22"/>
        <v>3.225806451612903</v>
      </c>
      <c r="Z42" s="16">
        <v>130</v>
      </c>
      <c r="AA42" s="16">
        <v>130</v>
      </c>
      <c r="AB42" s="30">
        <f t="shared" si="23"/>
        <v>0</v>
      </c>
      <c r="AC42" s="16">
        <v>90</v>
      </c>
      <c r="AD42" s="16">
        <v>90</v>
      </c>
      <c r="AE42" s="30">
        <f t="shared" si="24"/>
        <v>0</v>
      </c>
      <c r="AF42" s="16">
        <v>49.5</v>
      </c>
      <c r="AG42" s="16">
        <v>34.5</v>
      </c>
      <c r="AH42" s="30">
        <f t="shared" si="25"/>
        <v>-30.303030303030305</v>
      </c>
      <c r="AI42" s="16">
        <v>454</v>
      </c>
      <c r="AJ42" s="16">
        <v>460</v>
      </c>
      <c r="AK42" s="30">
        <f t="shared" si="26"/>
        <v>1.3215859030837005</v>
      </c>
      <c r="AL42" s="16">
        <v>48</v>
      </c>
      <c r="AM42" s="16">
        <v>48</v>
      </c>
      <c r="AN42" s="17">
        <v>117</v>
      </c>
      <c r="AO42" s="18">
        <v>114</v>
      </c>
      <c r="AP42" s="30">
        <f t="shared" si="27"/>
        <v>-2.5641025641025639</v>
      </c>
      <c r="AQ42" s="17">
        <v>29</v>
      </c>
      <c r="AR42" s="18">
        <v>21</v>
      </c>
      <c r="AS42" s="30">
        <f t="shared" si="28"/>
        <v>-27.586206896551722</v>
      </c>
      <c r="AT42" s="17">
        <v>0.88</v>
      </c>
      <c r="AU42" s="22">
        <v>1.05</v>
      </c>
      <c r="AV42" s="30">
        <f t="shared" si="29"/>
        <v>19.318181818181824</v>
      </c>
      <c r="AW42" s="17">
        <v>0.55000000000000004</v>
      </c>
      <c r="AX42" s="22">
        <v>0.57999999999999996</v>
      </c>
      <c r="AY42" s="30">
        <f t="shared" si="30"/>
        <v>5.454545454545439</v>
      </c>
      <c r="AZ42" s="17">
        <v>0.13</v>
      </c>
      <c r="BA42" s="22">
        <v>0.19</v>
      </c>
      <c r="BB42" s="30">
        <f t="shared" si="31"/>
        <v>46.153846153846153</v>
      </c>
      <c r="BC42" s="17">
        <f t="shared" si="72"/>
        <v>0.42000000000000004</v>
      </c>
      <c r="BD42" s="17">
        <f t="shared" si="32"/>
        <v>0.38999999999999996</v>
      </c>
      <c r="BE42" s="30">
        <f t="shared" si="33"/>
        <v>-7.1428571428571619</v>
      </c>
      <c r="BF42" s="17">
        <v>37</v>
      </c>
      <c r="BG42" s="18">
        <v>46</v>
      </c>
      <c r="BH42" s="17">
        <v>23</v>
      </c>
      <c r="BI42" s="18">
        <v>28</v>
      </c>
      <c r="BJ42" s="17">
        <v>34</v>
      </c>
      <c r="BK42" s="18">
        <v>42</v>
      </c>
      <c r="BL42" s="17">
        <v>4.5</v>
      </c>
      <c r="BM42" s="23">
        <v>5.8</v>
      </c>
      <c r="BN42" s="30">
        <f t="shared" si="34"/>
        <v>28.888888888888886</v>
      </c>
      <c r="BO42" s="17">
        <v>7.86</v>
      </c>
      <c r="BP42" s="22">
        <v>7.7</v>
      </c>
      <c r="BQ42" s="30">
        <f t="shared" si="35"/>
        <v>-2.035623409669213</v>
      </c>
      <c r="BR42" s="17">
        <v>3.79</v>
      </c>
      <c r="BS42" s="22">
        <v>3.74</v>
      </c>
      <c r="BT42" s="30">
        <f t="shared" si="36"/>
        <v>-1.3192612137203119</v>
      </c>
      <c r="BU42" s="17">
        <f t="shared" si="73"/>
        <v>4.07</v>
      </c>
      <c r="BV42" s="17">
        <f t="shared" si="55"/>
        <v>3.96</v>
      </c>
      <c r="BW42" s="30">
        <f t="shared" si="37"/>
        <v>-2.7027027027027106</v>
      </c>
      <c r="BX42" s="17">
        <v>196</v>
      </c>
      <c r="BY42" s="18">
        <v>217</v>
      </c>
      <c r="BZ42" s="30">
        <f t="shared" si="38"/>
        <v>10.714285714285714</v>
      </c>
      <c r="CA42" s="17">
        <v>41</v>
      </c>
      <c r="CB42" s="18">
        <v>38</v>
      </c>
      <c r="CC42" s="30">
        <f t="shared" si="39"/>
        <v>-7.3170731707317067</v>
      </c>
      <c r="CD42" s="17">
        <f t="shared" si="57"/>
        <v>130.19999999999999</v>
      </c>
      <c r="CE42" s="17">
        <f t="shared" si="60"/>
        <v>145.6</v>
      </c>
      <c r="CF42" s="30">
        <f t="shared" si="40"/>
        <v>11.827956989247317</v>
      </c>
      <c r="CG42" s="17">
        <v>124</v>
      </c>
      <c r="CH42" s="18">
        <v>167</v>
      </c>
      <c r="CI42" s="30">
        <f t="shared" si="41"/>
        <v>34.677419354838712</v>
      </c>
      <c r="CJ42" s="17">
        <v>9.1</v>
      </c>
      <c r="CK42" s="23">
        <v>10.4</v>
      </c>
      <c r="CL42" s="30">
        <f t="shared" si="42"/>
        <v>14.285714285714294</v>
      </c>
      <c r="CM42" s="17">
        <v>17</v>
      </c>
      <c r="CN42" s="18">
        <v>22.7</v>
      </c>
      <c r="CO42" s="30">
        <f t="shared" si="43"/>
        <v>33.529411764705877</v>
      </c>
      <c r="CP42" s="17">
        <v>22.8</v>
      </c>
      <c r="CQ42" s="18">
        <v>44.8</v>
      </c>
      <c r="CR42" s="17">
        <v>96.6</v>
      </c>
      <c r="CS42" s="18">
        <v>55</v>
      </c>
      <c r="CT42" s="17">
        <f t="shared" si="63"/>
        <v>4.9477611940298507</v>
      </c>
      <c r="CU42" s="17">
        <f t="shared" si="64"/>
        <v>6.4373134328358201</v>
      </c>
      <c r="CV42" s="30">
        <f t="shared" si="44"/>
        <v>30.105580693815977</v>
      </c>
      <c r="CW42" s="19">
        <f t="shared" si="65"/>
        <v>1.5806451612903225</v>
      </c>
      <c r="CX42" s="20">
        <f t="shared" si="66"/>
        <v>1.2994011976047903</v>
      </c>
      <c r="CY42" s="19">
        <f t="shared" si="58"/>
        <v>1.0499999999999998</v>
      </c>
      <c r="CZ42" s="20">
        <f t="shared" si="61"/>
        <v>0.87185628742514965</v>
      </c>
      <c r="DA42" s="19">
        <f t="shared" si="74"/>
        <v>4.7804878048780486</v>
      </c>
      <c r="DB42" s="20">
        <f t="shared" si="69"/>
        <v>5.7105263157894735</v>
      </c>
      <c r="DC42" s="19">
        <f t="shared" si="75"/>
        <v>3.1756097560975607</v>
      </c>
      <c r="DD42" s="20">
        <f t="shared" si="70"/>
        <v>3.831578947368421</v>
      </c>
      <c r="DE42" s="19">
        <f t="shared" si="76"/>
        <v>155</v>
      </c>
      <c r="DF42" s="20">
        <f t="shared" si="71"/>
        <v>179</v>
      </c>
      <c r="DG42" s="19" t="s">
        <v>229</v>
      </c>
      <c r="DH42" s="16">
        <v>19.5</v>
      </c>
      <c r="DI42" s="19" t="s">
        <v>230</v>
      </c>
      <c r="DJ42" s="16">
        <v>220.04</v>
      </c>
      <c r="DK42" s="19" t="s">
        <v>231</v>
      </c>
      <c r="DL42" s="16">
        <v>84.15</v>
      </c>
      <c r="DM42" s="30">
        <f t="shared" si="45"/>
        <v>1.2635379061371979</v>
      </c>
      <c r="DN42" s="19">
        <v>904.63</v>
      </c>
      <c r="DO42" s="16">
        <v>885.14</v>
      </c>
      <c r="DP42" s="30">
        <f t="shared" si="46"/>
        <v>-2.1544719940749268</v>
      </c>
      <c r="DQ42" s="19" t="s">
        <v>232</v>
      </c>
      <c r="DR42" s="16">
        <v>11.04</v>
      </c>
      <c r="DS42" s="30">
        <f t="shared" si="47"/>
        <v>17.446808510638284</v>
      </c>
      <c r="DT42" s="21">
        <v>294.43</v>
      </c>
      <c r="DU42" s="16">
        <v>595.58000000000004</v>
      </c>
      <c r="DV42" s="30">
        <f t="shared" si="48"/>
        <v>102.28237611656421</v>
      </c>
      <c r="DW42" s="19">
        <v>0.46100000000000002</v>
      </c>
      <c r="DX42" s="16">
        <v>0.66600000000000004</v>
      </c>
      <c r="DY42" s="30">
        <f t="shared" si="49"/>
        <v>44.468546637744041</v>
      </c>
      <c r="DZ42" s="19">
        <v>606428.85</v>
      </c>
      <c r="EA42" s="16">
        <v>1414531.04</v>
      </c>
      <c r="EB42" s="30">
        <f t="shared" si="50"/>
        <v>133.25589473521916</v>
      </c>
      <c r="EC42" s="19">
        <v>2.94</v>
      </c>
      <c r="ED42" s="16">
        <v>7.69</v>
      </c>
      <c r="EE42" s="30">
        <f t="shared" si="51"/>
        <v>161.56462585034015</v>
      </c>
      <c r="EF42" s="19">
        <f t="shared" si="67"/>
        <v>201.0288888888889</v>
      </c>
      <c r="EG42" s="20">
        <f t="shared" si="68"/>
        <v>152.6103448275862</v>
      </c>
      <c r="EH42" s="16">
        <v>45.13</v>
      </c>
      <c r="EI42" s="16">
        <v>33.53</v>
      </c>
      <c r="EJ42" s="30">
        <f t="shared" si="52"/>
        <v>-25.703523155329052</v>
      </c>
      <c r="EK42" s="16">
        <v>43.62</v>
      </c>
      <c r="EL42" s="16">
        <v>50.67</v>
      </c>
      <c r="EM42" s="30">
        <f t="shared" si="53"/>
        <v>16.162310866574977</v>
      </c>
    </row>
    <row r="43" spans="1:143">
      <c r="A43" s="16">
        <v>11</v>
      </c>
      <c r="B43" s="16">
        <v>2</v>
      </c>
      <c r="C43" s="16">
        <v>1</v>
      </c>
      <c r="D43" s="16">
        <v>54</v>
      </c>
      <c r="E43" s="16">
        <v>2</v>
      </c>
      <c r="F43" s="16" t="s">
        <v>233</v>
      </c>
      <c r="G43" s="16">
        <v>2</v>
      </c>
      <c r="H43" s="16">
        <v>1</v>
      </c>
      <c r="I43" s="16">
        <v>90.6</v>
      </c>
      <c r="J43" s="16">
        <v>89.5</v>
      </c>
      <c r="K43" s="30">
        <f t="shared" si="18"/>
        <v>-1.2141280353200823</v>
      </c>
      <c r="L43" s="16">
        <v>1.81</v>
      </c>
      <c r="M43" s="16">
        <v>1.81</v>
      </c>
      <c r="N43" s="16">
        <v>27.62</v>
      </c>
      <c r="O43" s="16">
        <v>27.3</v>
      </c>
      <c r="P43" s="30">
        <f t="shared" si="19"/>
        <v>-1.1585807385952218</v>
      </c>
      <c r="Q43" s="16">
        <v>104</v>
      </c>
      <c r="R43" s="16">
        <v>99</v>
      </c>
      <c r="S43" s="30">
        <f t="shared" si="20"/>
        <v>-4.8076923076923084</v>
      </c>
      <c r="T43" s="16">
        <v>101</v>
      </c>
      <c r="U43" s="16">
        <v>101</v>
      </c>
      <c r="V43" s="30">
        <f t="shared" si="21"/>
        <v>0</v>
      </c>
      <c r="W43" s="16">
        <v>100</v>
      </c>
      <c r="X43" s="16">
        <v>100</v>
      </c>
      <c r="Y43" s="30">
        <f t="shared" si="22"/>
        <v>0</v>
      </c>
      <c r="Z43" s="16">
        <v>120</v>
      </c>
      <c r="AA43" s="16">
        <v>120</v>
      </c>
      <c r="AB43" s="30">
        <f t="shared" si="23"/>
        <v>0</v>
      </c>
      <c r="AC43" s="16">
        <v>85</v>
      </c>
      <c r="AD43" s="16">
        <v>80</v>
      </c>
      <c r="AE43" s="30">
        <f t="shared" si="24"/>
        <v>-5.8823529411764701</v>
      </c>
      <c r="AF43" s="16">
        <v>27.8</v>
      </c>
      <c r="AG43" s="16">
        <v>25.7</v>
      </c>
      <c r="AH43" s="30">
        <f t="shared" si="25"/>
        <v>-7.5539568345323787</v>
      </c>
      <c r="AI43" s="16">
        <v>449</v>
      </c>
      <c r="AJ43" s="16">
        <v>423</v>
      </c>
      <c r="AK43" s="30">
        <f t="shared" si="26"/>
        <v>-5.7906458797327396</v>
      </c>
      <c r="AL43" s="16">
        <v>34</v>
      </c>
      <c r="AM43" s="16">
        <v>33</v>
      </c>
      <c r="AN43" s="17">
        <v>336</v>
      </c>
      <c r="AO43" s="18">
        <v>265</v>
      </c>
      <c r="AP43" s="30">
        <f t="shared" si="27"/>
        <v>-21.13095238095238</v>
      </c>
      <c r="AQ43" s="17">
        <v>56</v>
      </c>
      <c r="AR43" s="18">
        <v>60</v>
      </c>
      <c r="AS43" s="30">
        <f t="shared" si="28"/>
        <v>7.1428571428571423</v>
      </c>
      <c r="AT43" s="17">
        <v>1.66</v>
      </c>
      <c r="AU43" s="22">
        <v>2.11</v>
      </c>
      <c r="AV43" s="30">
        <f t="shared" si="29"/>
        <v>27.108433734939759</v>
      </c>
      <c r="AW43" s="17">
        <v>0.5</v>
      </c>
      <c r="AX43" s="22">
        <v>0.54</v>
      </c>
      <c r="AY43" s="30">
        <f t="shared" si="30"/>
        <v>8.0000000000000071</v>
      </c>
      <c r="AZ43" s="17">
        <v>0.09</v>
      </c>
      <c r="BA43" s="22">
        <v>0.2</v>
      </c>
      <c r="BB43" s="30">
        <f t="shared" si="31"/>
        <v>122.22222222222223</v>
      </c>
      <c r="BC43" s="17">
        <f t="shared" si="72"/>
        <v>0.41000000000000003</v>
      </c>
      <c r="BD43" s="17">
        <f t="shared" si="32"/>
        <v>0.34</v>
      </c>
      <c r="BE43" s="30">
        <f t="shared" si="33"/>
        <v>-17.073170731707318</v>
      </c>
      <c r="BF43" s="17">
        <v>71</v>
      </c>
      <c r="BG43" s="18">
        <v>46</v>
      </c>
      <c r="BH43" s="17">
        <v>22</v>
      </c>
      <c r="BI43" s="18">
        <v>16</v>
      </c>
      <c r="BJ43" s="17">
        <v>33</v>
      </c>
      <c r="BK43" s="18">
        <v>29</v>
      </c>
      <c r="BL43" s="17">
        <v>7.4</v>
      </c>
      <c r="BM43" s="23">
        <v>8.1</v>
      </c>
      <c r="BN43" s="30">
        <f t="shared" si="34"/>
        <v>9.459459459459449</v>
      </c>
      <c r="BO43" s="17">
        <v>8.17</v>
      </c>
      <c r="BP43" s="22">
        <v>7.61</v>
      </c>
      <c r="BQ43" s="30">
        <f t="shared" si="35"/>
        <v>-6.8543451652386729</v>
      </c>
      <c r="BR43" s="17">
        <v>4.29</v>
      </c>
      <c r="BS43" s="22">
        <v>4.3499999999999996</v>
      </c>
      <c r="BT43" s="30">
        <f t="shared" si="36"/>
        <v>1.3986013986013894</v>
      </c>
      <c r="BU43" s="17">
        <f t="shared" si="73"/>
        <v>3.88</v>
      </c>
      <c r="BV43" s="17">
        <f t="shared" si="55"/>
        <v>3.2600000000000007</v>
      </c>
      <c r="BW43" s="30">
        <f t="shared" si="37"/>
        <v>-15.979381443298948</v>
      </c>
      <c r="BX43" s="17">
        <v>292</v>
      </c>
      <c r="BY43" s="18">
        <v>223</v>
      </c>
      <c r="BZ43" s="30">
        <f t="shared" si="38"/>
        <v>-23.63013698630137</v>
      </c>
      <c r="CA43" s="17">
        <v>24</v>
      </c>
      <c r="CB43" s="18">
        <v>24</v>
      </c>
      <c r="CC43" s="30">
        <f t="shared" si="39"/>
        <v>0</v>
      </c>
      <c r="CD43" s="17"/>
      <c r="CE43" s="17"/>
      <c r="CF43" s="30"/>
      <c r="CG43" s="17">
        <v>1247</v>
      </c>
      <c r="CH43" s="18">
        <v>340</v>
      </c>
      <c r="CI43" s="30">
        <f t="shared" si="41"/>
        <v>-72.734562951082594</v>
      </c>
      <c r="CJ43" s="17">
        <v>2.2000000000000002</v>
      </c>
      <c r="CK43" s="23">
        <v>4.5</v>
      </c>
      <c r="CL43" s="30">
        <f t="shared" si="42"/>
        <v>104.54545454545452</v>
      </c>
      <c r="CM43" s="17">
        <v>12.7</v>
      </c>
      <c r="CN43" s="18">
        <v>8.4</v>
      </c>
      <c r="CO43" s="30">
        <f t="shared" si="43"/>
        <v>-33.85826771653543</v>
      </c>
      <c r="CP43" s="17">
        <v>25.2</v>
      </c>
      <c r="CQ43" s="18">
        <v>39.299999999999997</v>
      </c>
      <c r="CR43" s="17">
        <v>71.5</v>
      </c>
      <c r="CS43" s="18">
        <v>38.4</v>
      </c>
      <c r="CT43" s="17">
        <f t="shared" si="63"/>
        <v>10.614925373134328</v>
      </c>
      <c r="CU43" s="17">
        <f t="shared" si="64"/>
        <v>5.5373134328358207</v>
      </c>
      <c r="CV43" s="30">
        <f t="shared" si="44"/>
        <v>-47.834645669291341</v>
      </c>
      <c r="CW43" s="19">
        <f t="shared" si="65"/>
        <v>0.23416198877305533</v>
      </c>
      <c r="CX43" s="20">
        <f t="shared" si="66"/>
        <v>0.65588235294117647</v>
      </c>
      <c r="CY43" s="19"/>
      <c r="CZ43" s="20"/>
      <c r="DA43" s="19">
        <f t="shared" si="74"/>
        <v>12.166666666666666</v>
      </c>
      <c r="DB43" s="20">
        <f t="shared" si="69"/>
        <v>9.2916666666666661</v>
      </c>
      <c r="DC43" s="19"/>
      <c r="DD43" s="20"/>
      <c r="DE43" s="19">
        <f t="shared" si="76"/>
        <v>268</v>
      </c>
      <c r="DF43" s="20">
        <f t="shared" si="71"/>
        <v>199</v>
      </c>
      <c r="DG43" s="19" t="s">
        <v>234</v>
      </c>
      <c r="DH43" s="16">
        <v>27.3</v>
      </c>
      <c r="DI43" s="19" t="s">
        <v>235</v>
      </c>
      <c r="DJ43" s="16">
        <v>308.83999999999997</v>
      </c>
      <c r="DK43" s="19"/>
      <c r="DL43" s="16">
        <v>136.09</v>
      </c>
      <c r="DM43" s="30" t="e">
        <f t="shared" si="45"/>
        <v>#DIV/0!</v>
      </c>
      <c r="DN43" s="19">
        <v>1180.73</v>
      </c>
      <c r="DO43" s="16">
        <v>1193.5999999999999</v>
      </c>
      <c r="DP43" s="30">
        <f t="shared" si="46"/>
        <v>1.0900036418148003</v>
      </c>
      <c r="DQ43" s="19" t="s">
        <v>236</v>
      </c>
      <c r="DR43" s="16">
        <v>9.59</v>
      </c>
      <c r="DS43" s="30">
        <f t="shared" si="47"/>
        <v>-9.2715231788079517</v>
      </c>
      <c r="DT43" s="21">
        <v>304.3</v>
      </c>
      <c r="DU43" s="16">
        <v>637.27</v>
      </c>
      <c r="DV43" s="30">
        <f t="shared" si="48"/>
        <v>109.42162339796253</v>
      </c>
      <c r="DW43" s="19">
        <v>0.48399999999999999</v>
      </c>
      <c r="DX43" s="16">
        <v>0.73399999999999999</v>
      </c>
      <c r="DY43" s="30">
        <f t="shared" si="49"/>
        <v>51.652892561983478</v>
      </c>
      <c r="DZ43" s="19">
        <v>910081.98</v>
      </c>
      <c r="EA43" s="16">
        <v>1956480.18</v>
      </c>
      <c r="EB43" s="30">
        <f t="shared" si="50"/>
        <v>114.97845501786553</v>
      </c>
      <c r="EC43" s="19">
        <v>13.08</v>
      </c>
      <c r="ED43" s="16">
        <v>30.25</v>
      </c>
      <c r="EE43" s="30">
        <f t="shared" si="51"/>
        <v>131.2691131498471</v>
      </c>
      <c r="EF43" s="19">
        <f t="shared" si="67"/>
        <v>159.55810810810812</v>
      </c>
      <c r="EG43" s="20">
        <f t="shared" si="68"/>
        <v>147.35802469135803</v>
      </c>
      <c r="EH43" s="16">
        <v>45.95</v>
      </c>
      <c r="EI43" s="16">
        <v>35.15</v>
      </c>
      <c r="EJ43" s="30">
        <f t="shared" si="52"/>
        <v>-23.503808487486406</v>
      </c>
      <c r="EK43" s="16">
        <v>31.87</v>
      </c>
      <c r="EL43" s="16">
        <v>29.25</v>
      </c>
      <c r="EM43" s="30">
        <f t="shared" si="53"/>
        <v>-8.2208973956699118</v>
      </c>
    </row>
    <row r="44" spans="1:143">
      <c r="A44" s="16">
        <v>14</v>
      </c>
      <c r="B44" s="16">
        <v>2</v>
      </c>
      <c r="C44" s="16">
        <v>1</v>
      </c>
      <c r="D44" s="16">
        <v>48</v>
      </c>
      <c r="E44" s="16">
        <v>2</v>
      </c>
      <c r="F44" s="16" t="s">
        <v>237</v>
      </c>
      <c r="G44" s="16">
        <v>1</v>
      </c>
      <c r="H44" s="16">
        <v>1</v>
      </c>
      <c r="I44" s="16">
        <v>108.8</v>
      </c>
      <c r="J44" s="16">
        <v>109.7</v>
      </c>
      <c r="K44" s="30">
        <f t="shared" si="18"/>
        <v>0.82720588235294634</v>
      </c>
      <c r="L44" s="16">
        <v>1.77</v>
      </c>
      <c r="M44" s="16">
        <v>1.77</v>
      </c>
      <c r="N44" s="16">
        <v>34.76</v>
      </c>
      <c r="O44" s="16">
        <v>35.049999999999997</v>
      </c>
      <c r="P44" s="30">
        <f t="shared" si="19"/>
        <v>0.83429228998849014</v>
      </c>
      <c r="Q44" s="16">
        <v>118</v>
      </c>
      <c r="R44" s="16">
        <v>113</v>
      </c>
      <c r="S44" s="30">
        <f t="shared" si="20"/>
        <v>-4.2372881355932197</v>
      </c>
      <c r="T44" s="16">
        <v>113</v>
      </c>
      <c r="U44" s="16">
        <v>114</v>
      </c>
      <c r="V44" s="30">
        <f t="shared" si="21"/>
        <v>0.88495575221238942</v>
      </c>
      <c r="W44" s="16">
        <v>117</v>
      </c>
      <c r="X44" s="16">
        <v>117</v>
      </c>
      <c r="Y44" s="30">
        <f t="shared" si="22"/>
        <v>0</v>
      </c>
      <c r="Z44" s="16">
        <v>130</v>
      </c>
      <c r="AA44" s="16">
        <v>139</v>
      </c>
      <c r="AB44" s="30">
        <f t="shared" si="23"/>
        <v>6.9230769230769234</v>
      </c>
      <c r="AC44" s="16">
        <v>95</v>
      </c>
      <c r="AD44" s="16">
        <v>44</v>
      </c>
      <c r="AE44" s="30">
        <f t="shared" si="24"/>
        <v>-53.684210526315788</v>
      </c>
      <c r="AF44" s="16">
        <v>22.2</v>
      </c>
      <c r="AG44" s="16">
        <v>22.2</v>
      </c>
      <c r="AH44" s="30">
        <f t="shared" si="25"/>
        <v>0</v>
      </c>
      <c r="AI44" s="16">
        <v>347</v>
      </c>
      <c r="AJ44" s="16"/>
      <c r="AK44" s="30"/>
      <c r="AL44" s="16">
        <v>43</v>
      </c>
      <c r="AM44" s="16"/>
      <c r="AN44" s="17">
        <v>111</v>
      </c>
      <c r="AO44" s="18">
        <v>94</v>
      </c>
      <c r="AP44" s="30">
        <f t="shared" si="27"/>
        <v>-15.315315315315313</v>
      </c>
      <c r="AQ44" s="17">
        <v>31</v>
      </c>
      <c r="AR44" s="18">
        <v>23</v>
      </c>
      <c r="AS44" s="30">
        <f t="shared" si="28"/>
        <v>-25.806451612903224</v>
      </c>
      <c r="AT44" s="17">
        <v>1.04</v>
      </c>
      <c r="AU44" s="22">
        <v>1</v>
      </c>
      <c r="AV44" s="30">
        <f t="shared" si="29"/>
        <v>-3.8461538461538494</v>
      </c>
      <c r="AW44" s="17">
        <v>0.32</v>
      </c>
      <c r="AX44" s="22">
        <v>0.88</v>
      </c>
      <c r="AY44" s="30">
        <f t="shared" si="30"/>
        <v>175.00000000000003</v>
      </c>
      <c r="AZ44" s="17">
        <v>0.08</v>
      </c>
      <c r="BA44" s="22">
        <v>0.19</v>
      </c>
      <c r="BB44" s="30">
        <f t="shared" si="31"/>
        <v>137.5</v>
      </c>
      <c r="BC44" s="17">
        <f t="shared" si="72"/>
        <v>0.24</v>
      </c>
      <c r="BD44" s="17">
        <f t="shared" si="32"/>
        <v>0.69</v>
      </c>
      <c r="BE44" s="30">
        <f t="shared" si="33"/>
        <v>187.49999999999997</v>
      </c>
      <c r="BF44" s="17">
        <v>38</v>
      </c>
      <c r="BG44" s="18">
        <v>43</v>
      </c>
      <c r="BH44" s="17">
        <v>24</v>
      </c>
      <c r="BI44" s="18">
        <v>22</v>
      </c>
      <c r="BJ44" s="17">
        <v>43</v>
      </c>
      <c r="BK44" s="18">
        <v>40</v>
      </c>
      <c r="BL44" s="17">
        <v>5.3</v>
      </c>
      <c r="BM44" s="23">
        <v>6</v>
      </c>
      <c r="BN44" s="30">
        <f t="shared" si="34"/>
        <v>13.207547169811324</v>
      </c>
      <c r="BO44" s="17">
        <v>7.02</v>
      </c>
      <c r="BP44" s="22">
        <v>7.07</v>
      </c>
      <c r="BQ44" s="30">
        <f t="shared" si="35"/>
        <v>0.71225071225072245</v>
      </c>
      <c r="BR44" s="17">
        <v>3.86</v>
      </c>
      <c r="BS44" s="22">
        <v>3.96</v>
      </c>
      <c r="BT44" s="30">
        <f t="shared" si="36"/>
        <v>2.5906735751295358</v>
      </c>
      <c r="BU44" s="17">
        <f t="shared" si="73"/>
        <v>3.1599999999999997</v>
      </c>
      <c r="BV44" s="17">
        <f t="shared" si="55"/>
        <v>3.1100000000000003</v>
      </c>
      <c r="BW44" s="30">
        <f t="shared" si="37"/>
        <v>-1.5822784810126385</v>
      </c>
      <c r="BX44" s="17">
        <v>150</v>
      </c>
      <c r="BY44" s="18">
        <v>152</v>
      </c>
      <c r="BZ44" s="30">
        <f t="shared" si="38"/>
        <v>1.3333333333333335</v>
      </c>
      <c r="CA44" s="17">
        <v>28</v>
      </c>
      <c r="CB44" s="18">
        <v>32</v>
      </c>
      <c r="CC44" s="30">
        <f t="shared" si="39"/>
        <v>14.285714285714285</v>
      </c>
      <c r="CD44" s="17">
        <f t="shared" ref="CD44:CD55" si="77">BX44-(CA44+CG44/5)</f>
        <v>67.2</v>
      </c>
      <c r="CE44" s="17">
        <f t="shared" ref="CE44:CE55" si="78">BY44-(CB44+CH44/5)</f>
        <v>90</v>
      </c>
      <c r="CF44" s="30">
        <f t="shared" si="40"/>
        <v>33.928571428571423</v>
      </c>
      <c r="CG44" s="17">
        <v>274</v>
      </c>
      <c r="CH44" s="18">
        <v>150</v>
      </c>
      <c r="CI44" s="30">
        <f t="shared" si="41"/>
        <v>-45.255474452554743</v>
      </c>
      <c r="CJ44" s="17">
        <v>3.5</v>
      </c>
      <c r="CK44" s="23">
        <v>4.0999999999999996</v>
      </c>
      <c r="CL44" s="30">
        <f t="shared" si="42"/>
        <v>17.142857142857132</v>
      </c>
      <c r="CM44" s="17">
        <v>12.9</v>
      </c>
      <c r="CN44" s="24">
        <v>6</v>
      </c>
      <c r="CO44" s="30">
        <f t="shared" si="43"/>
        <v>-53.488372093023258</v>
      </c>
      <c r="CP44" s="17">
        <v>16.7</v>
      </c>
      <c r="CQ44" s="24" t="s">
        <v>238</v>
      </c>
      <c r="CR44" s="17">
        <v>107.4</v>
      </c>
      <c r="CS44" s="18" t="s">
        <v>239</v>
      </c>
      <c r="CT44" s="17">
        <f t="shared" si="63"/>
        <v>3.5619402985074631</v>
      </c>
      <c r="CU44" s="17">
        <f t="shared" si="64"/>
        <v>1.4029850746268657</v>
      </c>
      <c r="CV44" s="30">
        <f t="shared" si="44"/>
        <v>-60.611774565262941</v>
      </c>
      <c r="CW44" s="19">
        <f t="shared" si="65"/>
        <v>0.54744525547445255</v>
      </c>
      <c r="CX44" s="20">
        <f t="shared" si="66"/>
        <v>1.0133333333333334</v>
      </c>
      <c r="CY44" s="19">
        <f t="shared" ref="CY44:CY55" si="79">CD44/CG44</f>
        <v>0.24525547445255474</v>
      </c>
      <c r="CZ44" s="20">
        <f t="shared" ref="CZ44:CZ55" si="80">CE44/CH44</f>
        <v>0.6</v>
      </c>
      <c r="DA44" s="19">
        <f t="shared" si="74"/>
        <v>5.3571428571428568</v>
      </c>
      <c r="DB44" s="20">
        <f t="shared" si="69"/>
        <v>4.75</v>
      </c>
      <c r="DC44" s="19">
        <f t="shared" si="75"/>
        <v>2.4</v>
      </c>
      <c r="DD44" s="20">
        <f t="shared" si="70"/>
        <v>2.8125</v>
      </c>
      <c r="DE44" s="19">
        <f t="shared" si="76"/>
        <v>122</v>
      </c>
      <c r="DF44" s="20">
        <f t="shared" si="71"/>
        <v>120</v>
      </c>
      <c r="DG44" s="19" t="s">
        <v>240</v>
      </c>
      <c r="DH44" s="16">
        <v>35.5</v>
      </c>
      <c r="DI44" s="19" t="s">
        <v>241</v>
      </c>
      <c r="DJ44" s="16">
        <v>293.75</v>
      </c>
      <c r="DK44" s="19" t="s">
        <v>242</v>
      </c>
      <c r="DL44" s="16">
        <v>92.71</v>
      </c>
      <c r="DM44" s="30">
        <f t="shared" si="45"/>
        <v>-54.573962467538841</v>
      </c>
      <c r="DN44" s="19">
        <v>1271.3800000000001</v>
      </c>
      <c r="DO44" s="16">
        <v>997.69</v>
      </c>
      <c r="DP44" s="30">
        <f t="shared" si="46"/>
        <v>-21.527002155138515</v>
      </c>
      <c r="DQ44" s="19" t="s">
        <v>243</v>
      </c>
      <c r="DR44" s="16">
        <v>3.88</v>
      </c>
      <c r="DS44" s="30">
        <f t="shared" si="47"/>
        <v>-41.741741741741748</v>
      </c>
      <c r="DT44" s="21">
        <v>472.9</v>
      </c>
      <c r="DU44" s="16">
        <v>480.43</v>
      </c>
      <c r="DV44" s="30">
        <f t="shared" si="48"/>
        <v>1.5923028124339247</v>
      </c>
      <c r="DW44" s="19">
        <v>0.74299999999999999</v>
      </c>
      <c r="DX44" s="16">
        <v>0.44900000000000001</v>
      </c>
      <c r="DY44" s="30">
        <f t="shared" si="49"/>
        <v>-39.569313593539704</v>
      </c>
      <c r="DZ44" s="19">
        <v>1237910.3400000001</v>
      </c>
      <c r="EA44" s="16">
        <v>2795853.07</v>
      </c>
      <c r="EB44" s="30">
        <f t="shared" si="50"/>
        <v>125.85263081331072</v>
      </c>
      <c r="EC44" s="19">
        <v>1.06</v>
      </c>
      <c r="ED44" s="16">
        <v>2.09</v>
      </c>
      <c r="EE44" s="30">
        <f t="shared" si="51"/>
        <v>97.16981132075469</v>
      </c>
      <c r="EF44" s="19">
        <f t="shared" si="67"/>
        <v>239.88301886792456</v>
      </c>
      <c r="EG44" s="20">
        <f t="shared" si="68"/>
        <v>166.28166666666667</v>
      </c>
      <c r="EH44" s="16">
        <v>39.659999999999997</v>
      </c>
      <c r="EI44" s="16">
        <v>50.06</v>
      </c>
      <c r="EJ44" s="30">
        <f t="shared" si="52"/>
        <v>26.222894604135167</v>
      </c>
      <c r="EK44" s="16">
        <v>41.19</v>
      </c>
      <c r="EL44" s="16">
        <v>26.62</v>
      </c>
      <c r="EM44" s="30">
        <f t="shared" si="53"/>
        <v>-35.372663267783437</v>
      </c>
    </row>
    <row r="45" spans="1:143">
      <c r="A45" s="16">
        <v>18</v>
      </c>
      <c r="B45" s="16">
        <v>2</v>
      </c>
      <c r="C45" s="16">
        <v>1</v>
      </c>
      <c r="D45" s="16">
        <v>39</v>
      </c>
      <c r="E45" s="16">
        <v>1</v>
      </c>
      <c r="F45" s="16" t="s">
        <v>244</v>
      </c>
      <c r="G45" s="16">
        <v>2</v>
      </c>
      <c r="H45" s="16">
        <v>1</v>
      </c>
      <c r="I45" s="16">
        <v>75.3</v>
      </c>
      <c r="J45" s="16">
        <v>75.5</v>
      </c>
      <c r="K45" s="30">
        <f t="shared" si="18"/>
        <v>0.2656042496679985</v>
      </c>
      <c r="L45" s="16">
        <v>1.57</v>
      </c>
      <c r="M45" s="16">
        <v>1.57</v>
      </c>
      <c r="N45" s="16">
        <v>30.5</v>
      </c>
      <c r="O45" s="16">
        <v>30.69</v>
      </c>
      <c r="P45" s="30">
        <f t="shared" si="19"/>
        <v>0.62295081967213539</v>
      </c>
      <c r="Q45" s="16">
        <v>92</v>
      </c>
      <c r="R45" s="16">
        <v>98</v>
      </c>
      <c r="S45" s="30">
        <f t="shared" si="20"/>
        <v>6.5217391304347823</v>
      </c>
      <c r="T45" s="16">
        <v>97</v>
      </c>
      <c r="U45" s="16">
        <v>101</v>
      </c>
      <c r="V45" s="30">
        <f t="shared" si="21"/>
        <v>4.1237113402061851</v>
      </c>
      <c r="W45" s="16">
        <v>94</v>
      </c>
      <c r="X45" s="16">
        <v>100</v>
      </c>
      <c r="Y45" s="30">
        <f t="shared" si="22"/>
        <v>6.3829787234042552</v>
      </c>
      <c r="Z45" s="16">
        <v>120</v>
      </c>
      <c r="AA45" s="16">
        <v>120</v>
      </c>
      <c r="AB45" s="30">
        <f t="shared" si="23"/>
        <v>0</v>
      </c>
      <c r="AC45" s="16">
        <v>90</v>
      </c>
      <c r="AD45" s="16">
        <v>80</v>
      </c>
      <c r="AE45" s="30">
        <f t="shared" si="24"/>
        <v>-11.111111111111111</v>
      </c>
      <c r="AF45" s="16">
        <v>38.6</v>
      </c>
      <c r="AG45" s="16">
        <v>36.299999999999997</v>
      </c>
      <c r="AH45" s="30">
        <f t="shared" si="25"/>
        <v>-5.958549222797938</v>
      </c>
      <c r="AI45" s="16">
        <v>455</v>
      </c>
      <c r="AJ45" s="16">
        <v>426</v>
      </c>
      <c r="AK45" s="30">
        <f t="shared" si="26"/>
        <v>-6.3736263736263732</v>
      </c>
      <c r="AL45" s="16">
        <v>40</v>
      </c>
      <c r="AM45" s="16">
        <v>40</v>
      </c>
      <c r="AN45" s="17">
        <v>194</v>
      </c>
      <c r="AO45" s="18">
        <v>189</v>
      </c>
      <c r="AP45" s="30">
        <f t="shared" si="27"/>
        <v>-2.5773195876288657</v>
      </c>
      <c r="AQ45" s="17">
        <v>23</v>
      </c>
      <c r="AR45" s="18">
        <v>21</v>
      </c>
      <c r="AS45" s="30">
        <f t="shared" si="28"/>
        <v>-8.695652173913043</v>
      </c>
      <c r="AT45" s="17">
        <v>0.61</v>
      </c>
      <c r="AU45" s="18">
        <v>0.63</v>
      </c>
      <c r="AV45" s="30">
        <f t="shared" si="29"/>
        <v>3.2786885245901667</v>
      </c>
      <c r="AW45" s="17">
        <v>0.34</v>
      </c>
      <c r="AX45" s="18">
        <v>0.25</v>
      </c>
      <c r="AY45" s="30">
        <f t="shared" si="30"/>
        <v>-26.470588235294123</v>
      </c>
      <c r="AZ45" s="17">
        <v>0.1</v>
      </c>
      <c r="BA45" s="18">
        <v>0.09</v>
      </c>
      <c r="BB45" s="30">
        <f t="shared" si="31"/>
        <v>-10.000000000000009</v>
      </c>
      <c r="BC45" s="17">
        <f t="shared" si="72"/>
        <v>0.24000000000000002</v>
      </c>
      <c r="BD45" s="17">
        <f t="shared" si="32"/>
        <v>0.16</v>
      </c>
      <c r="BE45" s="30">
        <f t="shared" si="33"/>
        <v>-33.333333333333336</v>
      </c>
      <c r="BF45" s="17">
        <v>165</v>
      </c>
      <c r="BG45" s="18">
        <v>99</v>
      </c>
      <c r="BH45" s="17">
        <v>57</v>
      </c>
      <c r="BI45" s="18">
        <v>57</v>
      </c>
      <c r="BJ45" s="17">
        <v>47</v>
      </c>
      <c r="BK45" s="18">
        <v>41</v>
      </c>
      <c r="BL45" s="17">
        <v>3</v>
      </c>
      <c r="BM45" s="18">
        <v>4.5</v>
      </c>
      <c r="BN45" s="30">
        <f t="shared" si="34"/>
        <v>50</v>
      </c>
      <c r="BO45" s="17">
        <v>7.66</v>
      </c>
      <c r="BP45" s="18">
        <v>7.27</v>
      </c>
      <c r="BQ45" s="30">
        <f t="shared" si="35"/>
        <v>-5.0913838120104513</v>
      </c>
      <c r="BR45" s="17">
        <v>3.84</v>
      </c>
      <c r="BS45" s="18">
        <v>3.72</v>
      </c>
      <c r="BT45" s="30">
        <f t="shared" si="36"/>
        <v>-3.1249999999999911</v>
      </c>
      <c r="BU45" s="17">
        <f t="shared" si="73"/>
        <v>3.8200000000000003</v>
      </c>
      <c r="BV45" s="17">
        <f t="shared" si="55"/>
        <v>3.5499999999999994</v>
      </c>
      <c r="BW45" s="30">
        <f t="shared" si="37"/>
        <v>-7.0680628272251536</v>
      </c>
      <c r="BX45" s="17">
        <v>183</v>
      </c>
      <c r="BY45" s="18">
        <v>226</v>
      </c>
      <c r="BZ45" s="30">
        <f t="shared" si="38"/>
        <v>23.497267759562842</v>
      </c>
      <c r="CA45" s="17">
        <v>44</v>
      </c>
      <c r="CB45" s="18">
        <v>56</v>
      </c>
      <c r="CC45" s="30">
        <f t="shared" si="39"/>
        <v>27.27272727272727</v>
      </c>
      <c r="CD45" s="17">
        <f t="shared" si="77"/>
        <v>121</v>
      </c>
      <c r="CE45" s="17">
        <f t="shared" si="78"/>
        <v>151.4</v>
      </c>
      <c r="CF45" s="30">
        <f t="shared" si="40"/>
        <v>25.123966942148769</v>
      </c>
      <c r="CG45" s="17">
        <v>90</v>
      </c>
      <c r="CH45" s="18">
        <v>93</v>
      </c>
      <c r="CI45" s="30">
        <f t="shared" si="41"/>
        <v>3.3333333333333335</v>
      </c>
      <c r="CJ45" s="17">
        <v>21.7</v>
      </c>
      <c r="CK45" s="18">
        <v>14.2</v>
      </c>
      <c r="CL45" s="30">
        <f t="shared" si="42"/>
        <v>-34.562211981566819</v>
      </c>
      <c r="CM45" s="17">
        <v>24.3</v>
      </c>
      <c r="CN45" s="18">
        <v>19.3</v>
      </c>
      <c r="CO45" s="30">
        <f t="shared" si="43"/>
        <v>-20.5761316872428</v>
      </c>
      <c r="CP45" s="17">
        <v>20.100000000000001</v>
      </c>
      <c r="CQ45" s="18">
        <v>30.7</v>
      </c>
      <c r="CR45" s="17">
        <v>37.1</v>
      </c>
      <c r="CS45" s="18">
        <v>28.9</v>
      </c>
      <c r="CT45" s="17">
        <f t="shared" si="63"/>
        <v>11.726865671641791</v>
      </c>
      <c r="CU45" s="17">
        <f t="shared" si="64"/>
        <v>9.0738805970149254</v>
      </c>
      <c r="CV45" s="30">
        <f t="shared" si="44"/>
        <v>-22.623138602520047</v>
      </c>
      <c r="CW45" s="19">
        <f t="shared" si="65"/>
        <v>2.0333333333333332</v>
      </c>
      <c r="CX45" s="20">
        <f t="shared" si="66"/>
        <v>2.4301075268817205</v>
      </c>
      <c r="CY45" s="19">
        <f t="shared" si="79"/>
        <v>1.3444444444444446</v>
      </c>
      <c r="CZ45" s="20">
        <f t="shared" si="80"/>
        <v>1.6279569892473118</v>
      </c>
      <c r="DA45" s="19">
        <f t="shared" si="74"/>
        <v>4.1590909090909092</v>
      </c>
      <c r="DB45" s="20">
        <f t="shared" si="69"/>
        <v>4.0357142857142856</v>
      </c>
      <c r="DC45" s="19">
        <f t="shared" si="75"/>
        <v>2.75</v>
      </c>
      <c r="DD45" s="20">
        <f t="shared" si="70"/>
        <v>2.7035714285714287</v>
      </c>
      <c r="DE45" s="19">
        <f t="shared" si="76"/>
        <v>139</v>
      </c>
      <c r="DF45" s="20">
        <f t="shared" si="71"/>
        <v>170</v>
      </c>
      <c r="DG45" s="19" t="s">
        <v>245</v>
      </c>
      <c r="DH45" s="16">
        <v>33.200000000000003</v>
      </c>
      <c r="DI45" s="19" t="s">
        <v>246</v>
      </c>
      <c r="DJ45" s="16">
        <v>314.92</v>
      </c>
      <c r="DK45" s="19" t="s">
        <v>247</v>
      </c>
      <c r="DL45" s="16">
        <v>65.819999999999993</v>
      </c>
      <c r="DM45" s="30">
        <f t="shared" si="45"/>
        <v>-30.119970272852747</v>
      </c>
      <c r="DN45" s="19">
        <v>966.49</v>
      </c>
      <c r="DO45" s="16">
        <v>1080.69</v>
      </c>
      <c r="DP45" s="30">
        <f t="shared" si="46"/>
        <v>11.815952570642226</v>
      </c>
      <c r="DQ45" s="19" t="s">
        <v>248</v>
      </c>
      <c r="DR45" s="16">
        <v>8.5500000000000007</v>
      </c>
      <c r="DS45" s="30">
        <f t="shared" si="47"/>
        <v>74.489795918367349</v>
      </c>
      <c r="DT45" s="21">
        <v>645.33000000000004</v>
      </c>
      <c r="DU45" s="16">
        <v>646.46</v>
      </c>
      <c r="DV45" s="30">
        <f t="shared" si="48"/>
        <v>0.17510421024901918</v>
      </c>
      <c r="DW45" s="19">
        <v>0.52600000000000002</v>
      </c>
      <c r="DX45" s="16">
        <v>0.48699999999999999</v>
      </c>
      <c r="DY45" s="30">
        <f t="shared" si="49"/>
        <v>-7.4144486692015272</v>
      </c>
      <c r="DZ45" s="19">
        <v>617631.71</v>
      </c>
      <c r="EA45" s="16">
        <v>884562.98</v>
      </c>
      <c r="EB45" s="30">
        <f t="shared" si="50"/>
        <v>43.218517715031183</v>
      </c>
      <c r="EC45" s="19">
        <v>0.55000000000000004</v>
      </c>
      <c r="ED45" s="16">
        <v>1.58</v>
      </c>
      <c r="EE45" s="30">
        <f t="shared" si="51"/>
        <v>187.27272727272725</v>
      </c>
      <c r="EF45" s="19">
        <f t="shared" si="67"/>
        <v>322.16333333333336</v>
      </c>
      <c r="EG45" s="20">
        <f t="shared" si="68"/>
        <v>240.15333333333334</v>
      </c>
      <c r="EH45" s="16">
        <v>57.33</v>
      </c>
      <c r="EI45" s="16">
        <v>32.03</v>
      </c>
      <c r="EJ45" s="30">
        <f t="shared" si="52"/>
        <v>-44.130472701901269</v>
      </c>
      <c r="EK45" s="16">
        <v>16.59</v>
      </c>
      <c r="EL45" s="16">
        <v>42.11</v>
      </c>
      <c r="EM45" s="30">
        <f t="shared" si="53"/>
        <v>153.82760699216396</v>
      </c>
    </row>
    <row r="46" spans="1:143">
      <c r="A46" s="16">
        <v>19</v>
      </c>
      <c r="B46" s="16">
        <v>2</v>
      </c>
      <c r="C46" s="16">
        <v>1</v>
      </c>
      <c r="D46" s="16">
        <v>54</v>
      </c>
      <c r="E46" s="16">
        <v>1</v>
      </c>
      <c r="F46" s="16" t="s">
        <v>249</v>
      </c>
      <c r="G46" s="16">
        <v>1</v>
      </c>
      <c r="H46" s="16">
        <v>1</v>
      </c>
      <c r="I46" s="16">
        <v>158.19999999999999</v>
      </c>
      <c r="J46" s="16">
        <v>157.80000000000001</v>
      </c>
      <c r="K46" s="30">
        <f t="shared" si="18"/>
        <v>-0.2528445006320969</v>
      </c>
      <c r="L46" s="16">
        <v>1.61</v>
      </c>
      <c r="M46" s="16">
        <v>1.61</v>
      </c>
      <c r="N46" s="16">
        <v>61.08</v>
      </c>
      <c r="O46" s="16">
        <v>60.9</v>
      </c>
      <c r="P46" s="30">
        <f t="shared" si="19"/>
        <v>-0.29469548133595236</v>
      </c>
      <c r="Q46" s="16">
        <v>140</v>
      </c>
      <c r="R46" s="16">
        <v>148</v>
      </c>
      <c r="S46" s="30">
        <f t="shared" si="20"/>
        <v>5.7142857142857144</v>
      </c>
      <c r="T46" s="16">
        <v>170</v>
      </c>
      <c r="U46" s="16">
        <v>149</v>
      </c>
      <c r="V46" s="30">
        <f t="shared" si="21"/>
        <v>-12.352941176470589</v>
      </c>
      <c r="W46" s="16">
        <v>117</v>
      </c>
      <c r="X46" s="16">
        <v>124</v>
      </c>
      <c r="Y46" s="30">
        <f t="shared" si="22"/>
        <v>5.982905982905983</v>
      </c>
      <c r="Z46" s="16">
        <v>165</v>
      </c>
      <c r="AA46" s="16">
        <v>130</v>
      </c>
      <c r="AB46" s="30">
        <f t="shared" si="23"/>
        <v>-21.212121212121211</v>
      </c>
      <c r="AC46" s="16">
        <v>100</v>
      </c>
      <c r="AD46" s="16">
        <v>90</v>
      </c>
      <c r="AE46" s="30">
        <f t="shared" si="24"/>
        <v>-10</v>
      </c>
      <c r="AF46" s="16">
        <v>61</v>
      </c>
      <c r="AG46" s="16">
        <v>59.6</v>
      </c>
      <c r="AH46" s="30">
        <f t="shared" si="25"/>
        <v>-2.2950819672131124</v>
      </c>
      <c r="AI46" s="16">
        <v>414</v>
      </c>
      <c r="AJ46" s="16">
        <v>362</v>
      </c>
      <c r="AK46" s="30">
        <f t="shared" si="26"/>
        <v>-12.560386473429952</v>
      </c>
      <c r="AL46" s="16">
        <v>55</v>
      </c>
      <c r="AM46" s="16">
        <v>55</v>
      </c>
      <c r="AN46" s="17">
        <v>104</v>
      </c>
      <c r="AO46" s="18">
        <v>89</v>
      </c>
      <c r="AP46" s="30">
        <f t="shared" si="27"/>
        <v>-14.423076923076922</v>
      </c>
      <c r="AQ46" s="17">
        <v>28</v>
      </c>
      <c r="AR46" s="18">
        <v>41</v>
      </c>
      <c r="AS46" s="30">
        <f t="shared" si="28"/>
        <v>46.428571428571431</v>
      </c>
      <c r="AT46" s="17">
        <v>0.6</v>
      </c>
      <c r="AU46" s="22">
        <v>0.74</v>
      </c>
      <c r="AV46" s="30">
        <f t="shared" si="29"/>
        <v>23.333333333333336</v>
      </c>
      <c r="AW46" s="17">
        <v>0.66</v>
      </c>
      <c r="AX46" s="22">
        <v>0.52</v>
      </c>
      <c r="AY46" s="30">
        <f t="shared" si="30"/>
        <v>-21.212121212121211</v>
      </c>
      <c r="AZ46" s="17">
        <v>0.1</v>
      </c>
      <c r="BA46" s="22">
        <v>0.17</v>
      </c>
      <c r="BB46" s="30">
        <f t="shared" si="31"/>
        <v>70</v>
      </c>
      <c r="BC46" s="17">
        <f t="shared" si="72"/>
        <v>0.56000000000000005</v>
      </c>
      <c r="BD46" s="17">
        <f t="shared" si="32"/>
        <v>0.35</v>
      </c>
      <c r="BE46" s="30">
        <f t="shared" si="33"/>
        <v>-37.500000000000014</v>
      </c>
      <c r="BF46" s="17">
        <v>95</v>
      </c>
      <c r="BG46" s="18">
        <v>70</v>
      </c>
      <c r="BH46" s="17">
        <v>18</v>
      </c>
      <c r="BI46" s="18">
        <v>14</v>
      </c>
      <c r="BJ46" s="17">
        <v>31</v>
      </c>
      <c r="BK46" s="18">
        <v>26</v>
      </c>
      <c r="BL46" s="17">
        <v>4.7</v>
      </c>
      <c r="BM46" s="23">
        <v>5.9</v>
      </c>
      <c r="BN46" s="30">
        <f t="shared" si="34"/>
        <v>25.531914893617024</v>
      </c>
      <c r="BO46" s="17">
        <v>7.44</v>
      </c>
      <c r="BP46" s="22">
        <v>6.72</v>
      </c>
      <c r="BQ46" s="30">
        <f t="shared" si="35"/>
        <v>-9.6774193548387171</v>
      </c>
      <c r="BR46" s="17">
        <v>3.94</v>
      </c>
      <c r="BS46" s="22">
        <v>3.68</v>
      </c>
      <c r="BT46" s="30">
        <f t="shared" si="36"/>
        <v>-6.5989847715735985</v>
      </c>
      <c r="BU46" s="17">
        <f t="shared" si="73"/>
        <v>3.5000000000000004</v>
      </c>
      <c r="BV46" s="17">
        <f t="shared" si="55"/>
        <v>3.0399999999999996</v>
      </c>
      <c r="BW46" s="30">
        <f t="shared" si="37"/>
        <v>-13.142857142857164</v>
      </c>
      <c r="BX46" s="17">
        <v>262</v>
      </c>
      <c r="BY46" s="18">
        <v>245</v>
      </c>
      <c r="BZ46" s="30">
        <f t="shared" si="38"/>
        <v>-6.4885496183206106</v>
      </c>
      <c r="CA46" s="17">
        <v>35</v>
      </c>
      <c r="CB46" s="18">
        <v>39</v>
      </c>
      <c r="CC46" s="30">
        <f t="shared" si="39"/>
        <v>11.428571428571429</v>
      </c>
      <c r="CD46" s="17">
        <f t="shared" si="77"/>
        <v>171.8</v>
      </c>
      <c r="CE46" s="17">
        <f t="shared" si="78"/>
        <v>164.2</v>
      </c>
      <c r="CF46" s="30">
        <f t="shared" si="40"/>
        <v>-4.4237485448195706</v>
      </c>
      <c r="CG46" s="17">
        <v>276</v>
      </c>
      <c r="CH46" s="18">
        <v>209</v>
      </c>
      <c r="CI46" s="30">
        <f t="shared" si="41"/>
        <v>-24.275362318840578</v>
      </c>
      <c r="CJ46" s="17">
        <v>13.8</v>
      </c>
      <c r="CK46" s="23">
        <v>12.4</v>
      </c>
      <c r="CL46" s="30">
        <f t="shared" si="42"/>
        <v>-10.144927536231886</v>
      </c>
      <c r="CM46" s="17">
        <v>12.6</v>
      </c>
      <c r="CN46" s="18">
        <v>16.100000000000001</v>
      </c>
      <c r="CO46" s="30">
        <f t="shared" si="43"/>
        <v>27.777777777777789</v>
      </c>
      <c r="CP46" s="17">
        <v>25.7</v>
      </c>
      <c r="CQ46" s="18">
        <v>26.5</v>
      </c>
      <c r="CR46" s="17">
        <v>64.3</v>
      </c>
      <c r="CS46" s="18">
        <v>57.1</v>
      </c>
      <c r="CT46" s="17">
        <f t="shared" si="63"/>
        <v>3.2597014925373129</v>
      </c>
      <c r="CU46" s="17">
        <f t="shared" si="64"/>
        <v>3.5644278606965178</v>
      </c>
      <c r="CV46" s="30">
        <f t="shared" si="44"/>
        <v>9.3482905982906299</v>
      </c>
      <c r="CW46" s="19">
        <f t="shared" si="65"/>
        <v>0.94927536231884058</v>
      </c>
      <c r="CX46" s="20">
        <f t="shared" si="66"/>
        <v>1.1722488038277512</v>
      </c>
      <c r="CY46" s="19">
        <f t="shared" si="79"/>
        <v>0.62246376811594206</v>
      </c>
      <c r="CZ46" s="20">
        <f t="shared" si="80"/>
        <v>0.78564593301435404</v>
      </c>
      <c r="DA46" s="19">
        <f t="shared" si="74"/>
        <v>7.4857142857142858</v>
      </c>
      <c r="DB46" s="20">
        <f t="shared" si="69"/>
        <v>6.2820512820512819</v>
      </c>
      <c r="DC46" s="19">
        <f t="shared" si="75"/>
        <v>4.9085714285714293</v>
      </c>
      <c r="DD46" s="20">
        <f t="shared" si="70"/>
        <v>4.2102564102564104</v>
      </c>
      <c r="DE46" s="19">
        <f t="shared" si="76"/>
        <v>227</v>
      </c>
      <c r="DF46" s="20">
        <f t="shared" si="71"/>
        <v>206</v>
      </c>
      <c r="DG46" s="19" t="s">
        <v>250</v>
      </c>
      <c r="DH46" s="16">
        <v>20.8</v>
      </c>
      <c r="DI46" s="19" t="s">
        <v>251</v>
      </c>
      <c r="DJ46" s="16">
        <v>223.35</v>
      </c>
      <c r="DK46" s="19" t="s">
        <v>252</v>
      </c>
      <c r="DL46" s="16">
        <v>98.91</v>
      </c>
      <c r="DM46" s="30">
        <f t="shared" si="45"/>
        <v>-10.529172320217098</v>
      </c>
      <c r="DN46" s="19">
        <v>667.88</v>
      </c>
      <c r="DO46" s="16">
        <v>993.89</v>
      </c>
      <c r="DP46" s="30">
        <f t="shared" si="46"/>
        <v>48.812660957058149</v>
      </c>
      <c r="DQ46" s="19" t="s">
        <v>253</v>
      </c>
      <c r="DR46" s="16">
        <v>6.17</v>
      </c>
      <c r="DS46" s="30">
        <f t="shared" si="47"/>
        <v>15.977443609022549</v>
      </c>
      <c r="DT46" s="21">
        <v>208.41</v>
      </c>
      <c r="DU46" s="16">
        <v>444.06</v>
      </c>
      <c r="DV46" s="30">
        <f t="shared" si="48"/>
        <v>113.07039009644451</v>
      </c>
      <c r="DW46" s="19">
        <v>0.38300000000000001</v>
      </c>
      <c r="DX46" s="16">
        <v>0.66</v>
      </c>
      <c r="DY46" s="30">
        <f t="shared" si="49"/>
        <v>72.323759791122725</v>
      </c>
      <c r="DZ46" s="19">
        <v>1314659.52</v>
      </c>
      <c r="EA46" s="16">
        <v>2906293.43</v>
      </c>
      <c r="EB46" s="30">
        <f t="shared" si="50"/>
        <v>121.06814622237705</v>
      </c>
      <c r="EC46" s="19">
        <v>2.4300000000000002</v>
      </c>
      <c r="ED46" s="16">
        <v>9.2200000000000006</v>
      </c>
      <c r="EE46" s="30">
        <f t="shared" si="51"/>
        <v>279.42386831275724</v>
      </c>
      <c r="EF46" s="19">
        <f t="shared" si="67"/>
        <v>142.10212765957445</v>
      </c>
      <c r="EG46" s="20">
        <f t="shared" si="68"/>
        <v>168.45593220338981</v>
      </c>
      <c r="EH46" s="16">
        <v>46.88</v>
      </c>
      <c r="EI46" s="16">
        <v>31.91</v>
      </c>
      <c r="EJ46" s="30">
        <f t="shared" si="52"/>
        <v>-31.932593856655295</v>
      </c>
      <c r="EK46" s="16">
        <v>93.3</v>
      </c>
      <c r="EL46" s="16">
        <v>41.58</v>
      </c>
      <c r="EM46" s="30">
        <f t="shared" si="53"/>
        <v>-55.434083601286176</v>
      </c>
    </row>
    <row r="47" spans="1:143">
      <c r="A47" s="16">
        <v>22</v>
      </c>
      <c r="B47" s="16">
        <v>2</v>
      </c>
      <c r="C47" s="16">
        <v>1</v>
      </c>
      <c r="D47" s="16">
        <v>60</v>
      </c>
      <c r="E47" s="16">
        <v>2</v>
      </c>
      <c r="F47" s="16" t="s">
        <v>254</v>
      </c>
      <c r="G47" s="16">
        <v>1</v>
      </c>
      <c r="H47" s="16">
        <v>1</v>
      </c>
      <c r="I47" s="16">
        <v>76.599999999999994</v>
      </c>
      <c r="J47" s="16">
        <v>74.400000000000006</v>
      </c>
      <c r="K47" s="30">
        <f t="shared" si="18"/>
        <v>-2.8720626631853636</v>
      </c>
      <c r="L47" s="16">
        <v>1.61</v>
      </c>
      <c r="M47" s="16">
        <v>1.61</v>
      </c>
      <c r="N47" s="16">
        <v>29.57</v>
      </c>
      <c r="O47" s="16">
        <v>28.7</v>
      </c>
      <c r="P47" s="30">
        <f t="shared" si="19"/>
        <v>-2.9421711193777513</v>
      </c>
      <c r="Q47" s="16">
        <v>98</v>
      </c>
      <c r="R47" s="16">
        <v>95</v>
      </c>
      <c r="S47" s="30">
        <f t="shared" si="20"/>
        <v>-3.0612244897959182</v>
      </c>
      <c r="T47" s="16">
        <v>99</v>
      </c>
      <c r="U47" s="16">
        <v>99</v>
      </c>
      <c r="V47" s="30">
        <f t="shared" si="21"/>
        <v>0</v>
      </c>
      <c r="W47" s="16">
        <v>96</v>
      </c>
      <c r="X47" s="16">
        <v>96</v>
      </c>
      <c r="Y47" s="30">
        <f t="shared" si="22"/>
        <v>0</v>
      </c>
      <c r="Z47" s="16">
        <v>160</v>
      </c>
      <c r="AA47" s="16">
        <v>145</v>
      </c>
      <c r="AB47" s="30">
        <f t="shared" si="23"/>
        <v>-9.375</v>
      </c>
      <c r="AC47" s="16">
        <v>95</v>
      </c>
      <c r="AD47" s="16">
        <v>90</v>
      </c>
      <c r="AE47" s="30">
        <f t="shared" si="24"/>
        <v>-5.2631578947368416</v>
      </c>
      <c r="AF47" s="16">
        <v>28.5</v>
      </c>
      <c r="AG47" s="16">
        <v>19.8</v>
      </c>
      <c r="AH47" s="30">
        <f t="shared" si="25"/>
        <v>-30.526315789473678</v>
      </c>
      <c r="AI47" s="16">
        <v>395</v>
      </c>
      <c r="AJ47" s="16">
        <v>411</v>
      </c>
      <c r="AK47" s="30">
        <f t="shared" si="26"/>
        <v>4.0506329113924053</v>
      </c>
      <c r="AL47" s="16">
        <v>35</v>
      </c>
      <c r="AM47" s="16">
        <v>35</v>
      </c>
      <c r="AN47" s="17">
        <v>99</v>
      </c>
      <c r="AO47" s="18">
        <v>100</v>
      </c>
      <c r="AP47" s="30">
        <f t="shared" si="27"/>
        <v>1.0101010101010102</v>
      </c>
      <c r="AQ47" s="17">
        <v>20</v>
      </c>
      <c r="AR47" s="18">
        <v>24</v>
      </c>
      <c r="AS47" s="30">
        <f t="shared" si="28"/>
        <v>20</v>
      </c>
      <c r="AT47" s="17">
        <v>0.79</v>
      </c>
      <c r="AU47" s="22">
        <v>1</v>
      </c>
      <c r="AV47" s="30">
        <f t="shared" si="29"/>
        <v>26.582278481012651</v>
      </c>
      <c r="AW47" s="17">
        <v>1.35</v>
      </c>
      <c r="AX47" s="22">
        <v>0.99</v>
      </c>
      <c r="AY47" s="30">
        <f t="shared" si="30"/>
        <v>-26.666666666666671</v>
      </c>
      <c r="AZ47" s="17">
        <v>0.24</v>
      </c>
      <c r="BA47" s="22">
        <v>0.24</v>
      </c>
      <c r="BB47" s="30">
        <f t="shared" si="31"/>
        <v>0</v>
      </c>
      <c r="BC47" s="17">
        <f t="shared" si="72"/>
        <v>1.1100000000000001</v>
      </c>
      <c r="BD47" s="17">
        <f t="shared" si="32"/>
        <v>0.75</v>
      </c>
      <c r="BE47" s="30">
        <f t="shared" si="33"/>
        <v>-32.432432432432442</v>
      </c>
      <c r="BF47" s="17">
        <v>95</v>
      </c>
      <c r="BG47" s="18">
        <v>64</v>
      </c>
      <c r="BH47" s="17">
        <v>72</v>
      </c>
      <c r="BI47" s="18">
        <v>26</v>
      </c>
      <c r="BJ47" s="17">
        <v>85</v>
      </c>
      <c r="BK47" s="18">
        <v>37</v>
      </c>
      <c r="BL47" s="17">
        <v>4</v>
      </c>
      <c r="BM47" s="23">
        <v>4.5999999999999996</v>
      </c>
      <c r="BN47" s="30">
        <f t="shared" si="34"/>
        <v>14.999999999999991</v>
      </c>
      <c r="BO47" s="17">
        <v>8.42</v>
      </c>
      <c r="BP47" s="22">
        <v>7.91</v>
      </c>
      <c r="BQ47" s="30">
        <f t="shared" si="35"/>
        <v>-6.0570071258907339</v>
      </c>
      <c r="BR47" s="17">
        <v>4.37</v>
      </c>
      <c r="BS47" s="22">
        <v>4.1900000000000004</v>
      </c>
      <c r="BT47" s="30">
        <f t="shared" si="36"/>
        <v>-4.1189931350114355</v>
      </c>
      <c r="BU47" s="17">
        <f t="shared" si="73"/>
        <v>4.05</v>
      </c>
      <c r="BV47" s="17">
        <f t="shared" si="55"/>
        <v>3.7199999999999998</v>
      </c>
      <c r="BW47" s="30">
        <f t="shared" si="37"/>
        <v>-8.1481481481481506</v>
      </c>
      <c r="BX47" s="17">
        <v>269</v>
      </c>
      <c r="BY47" s="18">
        <v>276</v>
      </c>
      <c r="BZ47" s="30">
        <f t="shared" si="38"/>
        <v>2.6022304832713754</v>
      </c>
      <c r="CA47" s="17">
        <v>80</v>
      </c>
      <c r="CB47" s="18">
        <v>82</v>
      </c>
      <c r="CC47" s="30">
        <f t="shared" si="39"/>
        <v>2.5</v>
      </c>
      <c r="CD47" s="17">
        <f t="shared" si="77"/>
        <v>155.80000000000001</v>
      </c>
      <c r="CE47" s="17">
        <f t="shared" si="78"/>
        <v>146.4</v>
      </c>
      <c r="CF47" s="30">
        <f t="shared" si="40"/>
        <v>-6.0333761232349197</v>
      </c>
      <c r="CG47" s="17">
        <v>166</v>
      </c>
      <c r="CH47" s="18">
        <v>238</v>
      </c>
      <c r="CI47" s="30">
        <f t="shared" si="41"/>
        <v>43.373493975903614</v>
      </c>
      <c r="CJ47" s="17">
        <v>3</v>
      </c>
      <c r="CK47" s="23">
        <v>3.2</v>
      </c>
      <c r="CL47" s="30">
        <f t="shared" si="42"/>
        <v>6.6666666666666723</v>
      </c>
      <c r="CM47" s="17">
        <v>5.3</v>
      </c>
      <c r="CN47" s="33">
        <v>16.2</v>
      </c>
      <c r="CO47" s="30">
        <f t="shared" si="43"/>
        <v>205.66037735849054</v>
      </c>
      <c r="CP47" s="17">
        <v>24.2</v>
      </c>
      <c r="CQ47" s="18">
        <v>36</v>
      </c>
      <c r="CR47" s="17">
        <v>57.3</v>
      </c>
      <c r="CS47" s="18">
        <v>42.5</v>
      </c>
      <c r="CT47" s="17">
        <f t="shared" si="63"/>
        <v>1.3052238805970147</v>
      </c>
      <c r="CU47" s="35">
        <f t="shared" si="64"/>
        <v>4.0298507462686564</v>
      </c>
      <c r="CV47" s="30">
        <f t="shared" si="44"/>
        <v>208.74785591766729</v>
      </c>
      <c r="CW47" s="19">
        <f t="shared" si="65"/>
        <v>1.6204819277108433</v>
      </c>
      <c r="CX47" s="20">
        <f t="shared" si="66"/>
        <v>1.1596638655462186</v>
      </c>
      <c r="CY47" s="19">
        <f t="shared" si="79"/>
        <v>0.93855421686746998</v>
      </c>
      <c r="CZ47" s="20">
        <f t="shared" si="80"/>
        <v>0.6151260504201681</v>
      </c>
      <c r="DA47" s="19">
        <f t="shared" si="74"/>
        <v>3.3624999999999998</v>
      </c>
      <c r="DB47" s="20">
        <f t="shared" si="69"/>
        <v>3.3658536585365852</v>
      </c>
      <c r="DC47" s="19">
        <f t="shared" si="75"/>
        <v>1.9475000000000002</v>
      </c>
      <c r="DD47" s="20">
        <f t="shared" si="70"/>
        <v>1.7853658536585366</v>
      </c>
      <c r="DE47" s="19">
        <f t="shared" si="76"/>
        <v>189</v>
      </c>
      <c r="DF47" s="20">
        <f t="shared" si="71"/>
        <v>194</v>
      </c>
      <c r="DG47" s="19" t="s">
        <v>255</v>
      </c>
      <c r="DH47" s="16">
        <v>46.1</v>
      </c>
      <c r="DI47" s="19" t="s">
        <v>256</v>
      </c>
      <c r="DJ47" s="16">
        <v>336.41</v>
      </c>
      <c r="DK47" s="19" t="s">
        <v>257</v>
      </c>
      <c r="DL47" s="16">
        <v>143.16999999999999</v>
      </c>
      <c r="DM47" s="30">
        <f t="shared" si="45"/>
        <v>52.178996598639451</v>
      </c>
      <c r="DN47" s="19">
        <v>965.45</v>
      </c>
      <c r="DO47" s="16">
        <v>1033.69</v>
      </c>
      <c r="DP47" s="30">
        <f t="shared" si="46"/>
        <v>7.0682065358123154</v>
      </c>
      <c r="DQ47" s="19" t="s">
        <v>258</v>
      </c>
      <c r="DR47" s="16">
        <v>10.86</v>
      </c>
      <c r="DS47" s="30">
        <f t="shared" si="47"/>
        <v>40.491591203104768</v>
      </c>
      <c r="DT47" s="21">
        <v>364.47</v>
      </c>
      <c r="DU47" s="16">
        <v>634.94000000000005</v>
      </c>
      <c r="DV47" s="30">
        <f t="shared" si="48"/>
        <v>74.209125579608752</v>
      </c>
      <c r="DW47" s="19">
        <v>0.38600000000000001</v>
      </c>
      <c r="DX47" s="16">
        <v>0.56999999999999995</v>
      </c>
      <c r="DY47" s="30">
        <f t="shared" si="49"/>
        <v>47.668393782383404</v>
      </c>
      <c r="DZ47" s="19">
        <v>784313.17</v>
      </c>
      <c r="EA47" s="16">
        <v>3618166.7</v>
      </c>
      <c r="EB47" s="30">
        <f t="shared" si="50"/>
        <v>361.3165809774685</v>
      </c>
      <c r="EC47" s="19">
        <v>3.5000000000000003E-2</v>
      </c>
      <c r="ED47" s="16">
        <v>1.23</v>
      </c>
      <c r="EE47" s="30">
        <f t="shared" si="51"/>
        <v>3414.2857142857138</v>
      </c>
      <c r="EF47" s="19">
        <f t="shared" si="67"/>
        <v>241.36250000000001</v>
      </c>
      <c r="EG47" s="20">
        <f t="shared" si="68"/>
        <v>224.71521739130438</v>
      </c>
      <c r="EH47" s="16">
        <v>34.07</v>
      </c>
      <c r="EI47" s="16">
        <v>20.9</v>
      </c>
      <c r="EJ47" s="30">
        <f t="shared" si="52"/>
        <v>-38.655708834751984</v>
      </c>
      <c r="EK47" s="16">
        <v>89.8</v>
      </c>
      <c r="EL47" s="16">
        <v>81.19</v>
      </c>
      <c r="EM47" s="30">
        <f t="shared" si="53"/>
        <v>-9.5879732739420938</v>
      </c>
    </row>
    <row r="48" spans="1:143">
      <c r="A48" s="16">
        <v>24</v>
      </c>
      <c r="B48" s="16">
        <v>2</v>
      </c>
      <c r="C48" s="16">
        <v>1</v>
      </c>
      <c r="D48" s="16">
        <v>55</v>
      </c>
      <c r="E48" s="16">
        <v>1</v>
      </c>
      <c r="F48" s="16" t="s">
        <v>259</v>
      </c>
      <c r="G48" s="16">
        <v>1</v>
      </c>
      <c r="H48" s="16">
        <v>1</v>
      </c>
      <c r="I48" s="16">
        <v>67.599999999999994</v>
      </c>
      <c r="J48" s="16">
        <v>66.900000000000006</v>
      </c>
      <c r="K48" s="30">
        <f t="shared" si="18"/>
        <v>-1.035502958579865</v>
      </c>
      <c r="L48" s="16">
        <v>1.57</v>
      </c>
      <c r="M48" s="16">
        <v>1.57</v>
      </c>
      <c r="N48" s="16">
        <v>27.47</v>
      </c>
      <c r="O48" s="16">
        <v>27.19</v>
      </c>
      <c r="P48" s="30">
        <f t="shared" si="19"/>
        <v>-1.0192937750272939</v>
      </c>
      <c r="Q48" s="16">
        <v>84</v>
      </c>
      <c r="R48" s="16">
        <v>79</v>
      </c>
      <c r="S48" s="30">
        <f t="shared" si="20"/>
        <v>-5.9523809523809517</v>
      </c>
      <c r="T48" s="16">
        <v>93</v>
      </c>
      <c r="U48" s="16">
        <v>97</v>
      </c>
      <c r="V48" s="30">
        <f t="shared" si="21"/>
        <v>4.3010752688172049</v>
      </c>
      <c r="W48" s="16">
        <v>106</v>
      </c>
      <c r="X48" s="16">
        <v>103</v>
      </c>
      <c r="Y48" s="30">
        <f t="shared" si="22"/>
        <v>-2.8301886792452833</v>
      </c>
      <c r="Z48" s="16">
        <v>130</v>
      </c>
      <c r="AA48" s="16">
        <v>130</v>
      </c>
      <c r="AB48" s="30">
        <f t="shared" si="23"/>
        <v>0</v>
      </c>
      <c r="AC48" s="16">
        <v>85</v>
      </c>
      <c r="AD48" s="16">
        <v>85</v>
      </c>
      <c r="AE48" s="30">
        <f t="shared" si="24"/>
        <v>0</v>
      </c>
      <c r="AF48" s="16">
        <v>26.8</v>
      </c>
      <c r="AG48" s="16">
        <v>26.8</v>
      </c>
      <c r="AH48" s="30">
        <f t="shared" si="25"/>
        <v>0</v>
      </c>
      <c r="AI48" s="16">
        <v>532</v>
      </c>
      <c r="AJ48" s="16">
        <v>479</v>
      </c>
      <c r="AK48" s="30">
        <f t="shared" si="26"/>
        <v>-9.9624060150375939</v>
      </c>
      <c r="AL48" s="16">
        <v>36</v>
      </c>
      <c r="AM48" s="16">
        <v>35</v>
      </c>
      <c r="AN48" s="17">
        <v>114</v>
      </c>
      <c r="AO48" s="18">
        <v>101</v>
      </c>
      <c r="AP48" s="30">
        <f t="shared" si="27"/>
        <v>-11.403508771929824</v>
      </c>
      <c r="AQ48" s="17">
        <v>31</v>
      </c>
      <c r="AR48" s="18">
        <v>30</v>
      </c>
      <c r="AS48" s="30">
        <f t="shared" si="28"/>
        <v>-3.225806451612903</v>
      </c>
      <c r="AT48" s="17">
        <v>0.87</v>
      </c>
      <c r="AU48" s="22">
        <v>0.96</v>
      </c>
      <c r="AV48" s="30">
        <f t="shared" si="29"/>
        <v>10.344827586206893</v>
      </c>
      <c r="AW48" s="17">
        <v>0.64</v>
      </c>
      <c r="AX48" s="22">
        <v>0.56999999999999995</v>
      </c>
      <c r="AY48" s="30">
        <f t="shared" si="30"/>
        <v>-10.937500000000009</v>
      </c>
      <c r="AZ48" s="17">
        <v>0.13</v>
      </c>
      <c r="BA48" s="22">
        <v>0.15</v>
      </c>
      <c r="BB48" s="30">
        <f t="shared" si="31"/>
        <v>15.384615384615378</v>
      </c>
      <c r="BC48" s="17">
        <f t="shared" si="72"/>
        <v>0.51</v>
      </c>
      <c r="BD48" s="17">
        <f t="shared" si="32"/>
        <v>0.41999999999999993</v>
      </c>
      <c r="BE48" s="30">
        <f t="shared" si="33"/>
        <v>-17.647058823529427</v>
      </c>
      <c r="BF48" s="17">
        <v>41</v>
      </c>
      <c r="BG48" s="18">
        <v>39</v>
      </c>
      <c r="BH48" s="17">
        <v>11</v>
      </c>
      <c r="BI48" s="18">
        <v>15</v>
      </c>
      <c r="BJ48" s="17">
        <v>22</v>
      </c>
      <c r="BK48" s="18">
        <v>31</v>
      </c>
      <c r="BL48" s="17">
        <v>4.4000000000000004</v>
      </c>
      <c r="BM48" s="23">
        <v>4.7</v>
      </c>
      <c r="BN48" s="30">
        <f t="shared" si="34"/>
        <v>6.8181818181818139</v>
      </c>
      <c r="BO48" s="17">
        <v>7.64</v>
      </c>
      <c r="BP48" s="22">
        <v>7.07</v>
      </c>
      <c r="BQ48" s="30">
        <f t="shared" si="35"/>
        <v>-7.4607329842931867</v>
      </c>
      <c r="BR48" s="17">
        <v>3.92</v>
      </c>
      <c r="BS48" s="22">
        <v>3.87</v>
      </c>
      <c r="BT48" s="30">
        <f t="shared" si="36"/>
        <v>-1.2755102040816282</v>
      </c>
      <c r="BU48" s="17">
        <f t="shared" si="73"/>
        <v>3.7199999999999998</v>
      </c>
      <c r="BV48" s="17">
        <f t="shared" si="55"/>
        <v>3.2</v>
      </c>
      <c r="BW48" s="30">
        <f t="shared" si="37"/>
        <v>-13.978494623655905</v>
      </c>
      <c r="BX48" s="17">
        <v>177</v>
      </c>
      <c r="BY48" s="18">
        <v>147</v>
      </c>
      <c r="BZ48" s="30">
        <f t="shared" si="38"/>
        <v>-16.949152542372879</v>
      </c>
      <c r="CA48" s="17">
        <v>37</v>
      </c>
      <c r="CB48" s="18">
        <v>35</v>
      </c>
      <c r="CC48" s="30">
        <f t="shared" si="39"/>
        <v>-5.4054054054054053</v>
      </c>
      <c r="CD48" s="17">
        <f t="shared" si="77"/>
        <v>111.6</v>
      </c>
      <c r="CE48" s="17">
        <f t="shared" si="78"/>
        <v>86.4</v>
      </c>
      <c r="CF48" s="30">
        <f t="shared" si="40"/>
        <v>-22.580645161290313</v>
      </c>
      <c r="CG48" s="17">
        <v>142</v>
      </c>
      <c r="CH48" s="18">
        <v>128</v>
      </c>
      <c r="CI48" s="30">
        <f t="shared" si="41"/>
        <v>-9.8591549295774641</v>
      </c>
      <c r="CJ48" s="17">
        <v>2</v>
      </c>
      <c r="CK48" s="23">
        <v>2</v>
      </c>
      <c r="CL48" s="30">
        <f t="shared" si="42"/>
        <v>0</v>
      </c>
      <c r="CM48" s="17">
        <v>9.6999999999999993</v>
      </c>
      <c r="CN48" s="18">
        <v>6.5</v>
      </c>
      <c r="CO48" s="30">
        <f t="shared" si="43"/>
        <v>-32.989690721649481</v>
      </c>
      <c r="CP48" s="17">
        <v>26.3</v>
      </c>
      <c r="CQ48" s="18">
        <v>43.5</v>
      </c>
      <c r="CR48" s="17">
        <v>56.2</v>
      </c>
      <c r="CS48" s="18">
        <v>43.9</v>
      </c>
      <c r="CT48" s="17">
        <f t="shared" si="63"/>
        <v>2.7507462686567163</v>
      </c>
      <c r="CU48" s="17">
        <f t="shared" si="64"/>
        <v>1.6330845771144278</v>
      </c>
      <c r="CV48" s="30">
        <f t="shared" si="44"/>
        <v>-40.63121721830349</v>
      </c>
      <c r="CW48" s="19">
        <f t="shared" si="65"/>
        <v>1.2464788732394365</v>
      </c>
      <c r="CX48" s="20">
        <f t="shared" si="66"/>
        <v>1.1484375</v>
      </c>
      <c r="CY48" s="19">
        <f t="shared" si="79"/>
        <v>0.78591549295774643</v>
      </c>
      <c r="CZ48" s="20">
        <f t="shared" si="80"/>
        <v>0.67500000000000004</v>
      </c>
      <c r="DA48" s="19">
        <f t="shared" si="74"/>
        <v>4.7837837837837842</v>
      </c>
      <c r="DB48" s="20">
        <f t="shared" si="69"/>
        <v>4.2</v>
      </c>
      <c r="DC48" s="19">
        <f t="shared" si="75"/>
        <v>3.0162162162162161</v>
      </c>
      <c r="DD48" s="20">
        <f t="shared" si="70"/>
        <v>2.4685714285714289</v>
      </c>
      <c r="DE48" s="19">
        <f t="shared" si="76"/>
        <v>140</v>
      </c>
      <c r="DF48" s="20">
        <f t="shared" si="71"/>
        <v>112</v>
      </c>
      <c r="DG48" s="19" t="s">
        <v>260</v>
      </c>
      <c r="DH48" s="16">
        <v>28.4</v>
      </c>
      <c r="DI48" s="19" t="s">
        <v>261</v>
      </c>
      <c r="DJ48" s="16">
        <v>243.76</v>
      </c>
      <c r="DK48" s="19" t="s">
        <v>262</v>
      </c>
      <c r="DL48" s="16">
        <v>51.43</v>
      </c>
      <c r="DM48" s="30">
        <f t="shared" si="45"/>
        <v>-22.134746404239213</v>
      </c>
      <c r="DN48" s="19">
        <v>718.28</v>
      </c>
      <c r="DO48" s="16">
        <v>1022.08</v>
      </c>
      <c r="DP48" s="30">
        <f t="shared" si="46"/>
        <v>42.295483655399018</v>
      </c>
      <c r="DQ48" s="19" t="s">
        <v>263</v>
      </c>
      <c r="DR48" s="16">
        <v>5.13</v>
      </c>
      <c r="DS48" s="30">
        <f t="shared" si="47"/>
        <v>11.764705882352942</v>
      </c>
      <c r="DT48" s="21">
        <v>278.69</v>
      </c>
      <c r="DU48" s="16">
        <v>562.08000000000004</v>
      </c>
      <c r="DV48" s="30">
        <f t="shared" si="48"/>
        <v>101.68646165990887</v>
      </c>
      <c r="DW48" s="19">
        <v>0.36199999999999999</v>
      </c>
      <c r="DX48" s="16">
        <v>0.54700000000000004</v>
      </c>
      <c r="DY48" s="30">
        <f t="shared" si="49"/>
        <v>51.104972375690629</v>
      </c>
      <c r="DZ48" s="19">
        <v>508328.97</v>
      </c>
      <c r="EA48" s="16">
        <v>1564485.91</v>
      </c>
      <c r="EB48" s="30">
        <f t="shared" si="50"/>
        <v>207.77036177969555</v>
      </c>
      <c r="EC48" s="19">
        <v>0.26</v>
      </c>
      <c r="ED48" s="16">
        <v>0.89</v>
      </c>
      <c r="EE48" s="30">
        <f t="shared" si="51"/>
        <v>242.30769230769229</v>
      </c>
      <c r="EF48" s="19">
        <f t="shared" si="67"/>
        <v>163.24545454545452</v>
      </c>
      <c r="EG48" s="20">
        <f t="shared" si="68"/>
        <v>217.46382978723403</v>
      </c>
      <c r="EH48" s="16">
        <v>45.17</v>
      </c>
      <c r="EI48" s="16">
        <v>35.369999999999997</v>
      </c>
      <c r="EJ48" s="30">
        <f t="shared" si="52"/>
        <v>-21.695815806951522</v>
      </c>
      <c r="EK48" s="16">
        <v>35.270000000000003</v>
      </c>
      <c r="EL48" s="16">
        <v>46.63</v>
      </c>
      <c r="EM48" s="30">
        <f t="shared" si="53"/>
        <v>32.208675928551173</v>
      </c>
    </row>
    <row r="49" spans="1:143">
      <c r="A49" s="16">
        <v>29</v>
      </c>
      <c r="B49" s="16">
        <v>2</v>
      </c>
      <c r="C49" s="16">
        <v>1</v>
      </c>
      <c r="D49" s="16">
        <v>53</v>
      </c>
      <c r="E49" s="16">
        <v>1</v>
      </c>
      <c r="F49" s="16" t="s">
        <v>264</v>
      </c>
      <c r="G49" s="16">
        <v>2</v>
      </c>
      <c r="H49" s="16">
        <v>1</v>
      </c>
      <c r="I49" s="16">
        <v>65.400000000000006</v>
      </c>
      <c r="J49" s="16">
        <v>65.5</v>
      </c>
      <c r="K49" s="30">
        <f t="shared" si="18"/>
        <v>0.15290519877674968</v>
      </c>
      <c r="L49" s="16">
        <v>1.56</v>
      </c>
      <c r="M49" s="16">
        <v>1.56</v>
      </c>
      <c r="N49" s="16">
        <v>26.91</v>
      </c>
      <c r="O49" s="16">
        <v>26.9</v>
      </c>
      <c r="P49" s="30">
        <f t="shared" si="19"/>
        <v>-3.7160906726129928E-2</v>
      </c>
      <c r="Q49" s="16">
        <v>85</v>
      </c>
      <c r="R49" s="16">
        <v>87</v>
      </c>
      <c r="S49" s="30">
        <f t="shared" si="20"/>
        <v>2.3529411764705883</v>
      </c>
      <c r="T49" s="16">
        <v>97</v>
      </c>
      <c r="U49" s="16">
        <v>99</v>
      </c>
      <c r="V49" s="30">
        <f t="shared" si="21"/>
        <v>2.0618556701030926</v>
      </c>
      <c r="W49" s="16">
        <v>100</v>
      </c>
      <c r="X49" s="16">
        <v>98</v>
      </c>
      <c r="Y49" s="30">
        <f t="shared" si="22"/>
        <v>-2</v>
      </c>
      <c r="Z49" s="16">
        <v>120</v>
      </c>
      <c r="AA49" s="16">
        <v>120</v>
      </c>
      <c r="AB49" s="30">
        <f t="shared" si="23"/>
        <v>0</v>
      </c>
      <c r="AC49" s="16">
        <v>75</v>
      </c>
      <c r="AD49" s="16">
        <v>80</v>
      </c>
      <c r="AE49" s="30">
        <f t="shared" si="24"/>
        <v>6.666666666666667</v>
      </c>
      <c r="AF49" s="16">
        <v>35.9</v>
      </c>
      <c r="AG49" s="16">
        <v>33.9</v>
      </c>
      <c r="AH49" s="30">
        <f t="shared" si="25"/>
        <v>-5.5710306406685239</v>
      </c>
      <c r="AI49" s="16">
        <v>519</v>
      </c>
      <c r="AJ49" s="16">
        <v>461</v>
      </c>
      <c r="AK49" s="30">
        <f t="shared" si="26"/>
        <v>-11.175337186897881</v>
      </c>
      <c r="AL49" s="16">
        <v>35</v>
      </c>
      <c r="AM49" s="16">
        <v>33</v>
      </c>
      <c r="AN49" s="17">
        <v>113</v>
      </c>
      <c r="AO49" s="18">
        <v>89</v>
      </c>
      <c r="AP49" s="30">
        <f t="shared" si="27"/>
        <v>-21.238938053097346</v>
      </c>
      <c r="AQ49" s="17">
        <v>47</v>
      </c>
      <c r="AR49" s="18">
        <v>55</v>
      </c>
      <c r="AS49" s="30">
        <f t="shared" si="28"/>
        <v>17.021276595744681</v>
      </c>
      <c r="AT49" s="17">
        <v>0.64</v>
      </c>
      <c r="AU49" s="22">
        <v>0.77</v>
      </c>
      <c r="AV49" s="30">
        <f t="shared" si="29"/>
        <v>20.3125</v>
      </c>
      <c r="AW49" s="17">
        <v>0.35</v>
      </c>
      <c r="AX49" s="22">
        <v>0.31</v>
      </c>
      <c r="AY49" s="30">
        <f t="shared" si="30"/>
        <v>-11.428571428571423</v>
      </c>
      <c r="AZ49" s="17">
        <v>0.08</v>
      </c>
      <c r="BA49" s="22">
        <v>0.1</v>
      </c>
      <c r="BB49" s="30">
        <f t="shared" si="31"/>
        <v>25.000000000000007</v>
      </c>
      <c r="BC49" s="17">
        <f t="shared" si="72"/>
        <v>0.26999999999999996</v>
      </c>
      <c r="BD49" s="17">
        <f t="shared" si="32"/>
        <v>0.21</v>
      </c>
      <c r="BE49" s="30">
        <f t="shared" si="33"/>
        <v>-22.222222222222214</v>
      </c>
      <c r="BF49" s="17">
        <v>27</v>
      </c>
      <c r="BG49" s="18">
        <v>24</v>
      </c>
      <c r="BH49" s="17">
        <v>34</v>
      </c>
      <c r="BI49" s="18">
        <v>15</v>
      </c>
      <c r="BJ49" s="17">
        <v>53</v>
      </c>
      <c r="BK49" s="18">
        <v>26</v>
      </c>
      <c r="BL49" s="17">
        <v>4.3</v>
      </c>
      <c r="BM49" s="23">
        <v>5</v>
      </c>
      <c r="BN49" s="30">
        <f t="shared" si="34"/>
        <v>16.279069767441865</v>
      </c>
      <c r="BO49" s="17">
        <v>7.9</v>
      </c>
      <c r="BP49" s="22">
        <v>7.1</v>
      </c>
      <c r="BQ49" s="30">
        <f t="shared" si="35"/>
        <v>-10.12658227848102</v>
      </c>
      <c r="BR49" s="17">
        <v>4.38</v>
      </c>
      <c r="BS49" s="22">
        <v>4.0599999999999996</v>
      </c>
      <c r="BT49" s="30">
        <f t="shared" si="36"/>
        <v>-7.3059360730593674</v>
      </c>
      <c r="BU49" s="17">
        <f t="shared" si="73"/>
        <v>3.5200000000000005</v>
      </c>
      <c r="BV49" s="17">
        <f t="shared" si="55"/>
        <v>3.04</v>
      </c>
      <c r="BW49" s="30">
        <f t="shared" si="37"/>
        <v>-13.636363636363647</v>
      </c>
      <c r="BX49" s="17">
        <v>163</v>
      </c>
      <c r="BY49" s="18">
        <v>177</v>
      </c>
      <c r="BZ49" s="30">
        <f t="shared" si="38"/>
        <v>8.5889570552147241</v>
      </c>
      <c r="CA49" s="17">
        <v>55</v>
      </c>
      <c r="CB49" s="18">
        <v>54</v>
      </c>
      <c r="CC49" s="30">
        <f t="shared" si="39"/>
        <v>-1.8181818181818181</v>
      </c>
      <c r="CD49" s="17">
        <f t="shared" si="77"/>
        <v>85.2</v>
      </c>
      <c r="CE49" s="17">
        <f t="shared" si="78"/>
        <v>99.8</v>
      </c>
      <c r="CF49" s="30">
        <f t="shared" si="40"/>
        <v>17.136150234741777</v>
      </c>
      <c r="CG49" s="17">
        <v>114</v>
      </c>
      <c r="CH49" s="18">
        <v>116</v>
      </c>
      <c r="CI49" s="30">
        <f t="shared" si="41"/>
        <v>1.7543859649122806</v>
      </c>
      <c r="CJ49" s="17">
        <v>1.7</v>
      </c>
      <c r="CK49" s="23">
        <v>1.8</v>
      </c>
      <c r="CL49" s="30">
        <f t="shared" si="42"/>
        <v>5.8823529411764763</v>
      </c>
      <c r="CM49" s="17">
        <v>6.9</v>
      </c>
      <c r="CN49" s="18">
        <v>7.1</v>
      </c>
      <c r="CO49" s="30">
        <f t="shared" si="43"/>
        <v>2.8985507246376709</v>
      </c>
      <c r="CP49" s="17">
        <v>28.7</v>
      </c>
      <c r="CQ49" s="18">
        <v>65.7</v>
      </c>
      <c r="CR49" s="17">
        <v>30.5</v>
      </c>
      <c r="CS49" s="18">
        <v>29.8</v>
      </c>
      <c r="CT49" s="17">
        <f t="shared" si="63"/>
        <v>1.9395522388059703</v>
      </c>
      <c r="CU49" s="17">
        <f t="shared" si="64"/>
        <v>1.5718905472636815</v>
      </c>
      <c r="CV49" s="30">
        <f t="shared" si="44"/>
        <v>-18.956008721303075</v>
      </c>
      <c r="CW49" s="19">
        <f t="shared" si="65"/>
        <v>1.4298245614035088</v>
      </c>
      <c r="CX49" s="20">
        <f t="shared" si="66"/>
        <v>1.5258620689655173</v>
      </c>
      <c r="CY49" s="19">
        <f t="shared" si="79"/>
        <v>0.74736842105263157</v>
      </c>
      <c r="CZ49" s="20">
        <f t="shared" si="80"/>
        <v>0.8603448275862069</v>
      </c>
      <c r="DA49" s="19">
        <f t="shared" si="74"/>
        <v>2.9636363636363638</v>
      </c>
      <c r="DB49" s="20">
        <f t="shared" si="69"/>
        <v>3.2777777777777777</v>
      </c>
      <c r="DC49" s="19">
        <f t="shared" si="75"/>
        <v>1.5490909090909091</v>
      </c>
      <c r="DD49" s="20">
        <f t="shared" si="70"/>
        <v>1.8481481481481481</v>
      </c>
      <c r="DE49" s="19">
        <f t="shared" si="76"/>
        <v>108</v>
      </c>
      <c r="DF49" s="20">
        <f t="shared" si="71"/>
        <v>123</v>
      </c>
      <c r="DG49" s="19" t="s">
        <v>265</v>
      </c>
      <c r="DH49" s="16">
        <v>35.700000000000003</v>
      </c>
      <c r="DI49" s="19" t="s">
        <v>266</v>
      </c>
      <c r="DJ49" s="16">
        <v>327.02999999999997</v>
      </c>
      <c r="DK49" s="19" t="s">
        <v>267</v>
      </c>
      <c r="DL49" s="16">
        <v>43.68</v>
      </c>
      <c r="DM49" s="30">
        <f t="shared" si="45"/>
        <v>-29.707112970711297</v>
      </c>
      <c r="DN49" s="19">
        <v>595.13</v>
      </c>
      <c r="DO49" s="16">
        <v>1088.44</v>
      </c>
      <c r="DP49" s="30">
        <f t="shared" si="46"/>
        <v>82.891133029758208</v>
      </c>
      <c r="DQ49" s="19" t="s">
        <v>268</v>
      </c>
      <c r="DR49" s="16">
        <v>5.35</v>
      </c>
      <c r="DS49" s="30">
        <f t="shared" si="47"/>
        <v>4.9019607843137258</v>
      </c>
      <c r="DT49" s="21">
        <v>274.60000000000002</v>
      </c>
      <c r="DU49" s="16">
        <v>581.19000000000005</v>
      </c>
      <c r="DV49" s="30">
        <f t="shared" si="48"/>
        <v>111.64967225054625</v>
      </c>
      <c r="DW49" s="19">
        <v>0.627</v>
      </c>
      <c r="DX49" s="16">
        <v>0.75800000000000001</v>
      </c>
      <c r="DY49" s="30">
        <f t="shared" si="49"/>
        <v>20.893141945773525</v>
      </c>
      <c r="DZ49" s="19">
        <v>413158.49</v>
      </c>
      <c r="EA49" s="16">
        <v>1642193.57</v>
      </c>
      <c r="EB49" s="30">
        <f t="shared" si="50"/>
        <v>297.47303026497167</v>
      </c>
      <c r="EC49" s="19">
        <v>34.630000000000003</v>
      </c>
      <c r="ED49" s="16">
        <v>24.37</v>
      </c>
      <c r="EE49" s="30">
        <f t="shared" si="51"/>
        <v>-29.627490615073636</v>
      </c>
      <c r="EF49" s="19">
        <f t="shared" si="67"/>
        <v>138.40232558139536</v>
      </c>
      <c r="EG49" s="20">
        <f t="shared" si="68"/>
        <v>217.68800000000002</v>
      </c>
      <c r="EH49" s="16">
        <v>50.06</v>
      </c>
      <c r="EI49" s="16">
        <v>45.8</v>
      </c>
      <c r="EJ49" s="30">
        <f t="shared" si="52"/>
        <v>-8.5097882540950955</v>
      </c>
      <c r="EK49" s="16">
        <v>60.31</v>
      </c>
      <c r="EL49" s="16">
        <v>57.14</v>
      </c>
      <c r="EM49" s="30">
        <f t="shared" si="53"/>
        <v>-5.2561764218205962</v>
      </c>
    </row>
    <row r="50" spans="1:143">
      <c r="A50" s="16">
        <v>30</v>
      </c>
      <c r="B50" s="16">
        <v>2</v>
      </c>
      <c r="C50" s="16">
        <v>1</v>
      </c>
      <c r="D50" s="16">
        <v>45</v>
      </c>
      <c r="E50" s="16">
        <v>2</v>
      </c>
      <c r="F50" s="16" t="s">
        <v>269</v>
      </c>
      <c r="G50" s="16">
        <v>2</v>
      </c>
      <c r="H50" s="16">
        <v>1</v>
      </c>
      <c r="I50" s="16">
        <v>69.900000000000006</v>
      </c>
      <c r="J50" s="16">
        <v>72.3</v>
      </c>
      <c r="K50" s="30">
        <f t="shared" si="18"/>
        <v>3.4334763948497731</v>
      </c>
      <c r="L50" s="16">
        <v>1.7</v>
      </c>
      <c r="M50" s="16">
        <v>1.7</v>
      </c>
      <c r="N50" s="16">
        <v>24.19</v>
      </c>
      <c r="O50" s="16">
        <v>25.01</v>
      </c>
      <c r="P50" s="30">
        <f t="shared" si="19"/>
        <v>3.389830508474577</v>
      </c>
      <c r="Q50" s="16">
        <v>90</v>
      </c>
      <c r="R50" s="16">
        <v>96</v>
      </c>
      <c r="S50" s="30">
        <f t="shared" si="20"/>
        <v>6.666666666666667</v>
      </c>
      <c r="T50" s="16">
        <v>92</v>
      </c>
      <c r="U50" s="16">
        <v>99</v>
      </c>
      <c r="V50" s="30">
        <f t="shared" si="21"/>
        <v>7.608695652173914</v>
      </c>
      <c r="W50" s="16">
        <v>93</v>
      </c>
      <c r="X50" s="16">
        <v>101</v>
      </c>
      <c r="Y50" s="30">
        <f t="shared" si="22"/>
        <v>8.6021505376344098</v>
      </c>
      <c r="Z50" s="16">
        <v>140</v>
      </c>
      <c r="AA50" s="16">
        <v>130</v>
      </c>
      <c r="AB50" s="30">
        <f t="shared" si="23"/>
        <v>-7.1428571428571423</v>
      </c>
      <c r="AC50" s="16">
        <v>90</v>
      </c>
      <c r="AD50" s="16">
        <v>90</v>
      </c>
      <c r="AE50" s="30">
        <f t="shared" si="24"/>
        <v>0</v>
      </c>
      <c r="AF50" s="16">
        <v>24.2</v>
      </c>
      <c r="AG50" s="16">
        <v>27.8</v>
      </c>
      <c r="AH50" s="30">
        <f t="shared" si="25"/>
        <v>14.876033057851245</v>
      </c>
      <c r="AI50" s="16">
        <v>542</v>
      </c>
      <c r="AJ50" s="16">
        <v>596</v>
      </c>
      <c r="AK50" s="30">
        <f t="shared" si="26"/>
        <v>9.9630996309963091</v>
      </c>
      <c r="AL50" s="16">
        <v>32</v>
      </c>
      <c r="AM50" s="16">
        <v>34</v>
      </c>
      <c r="AN50" s="17">
        <v>160</v>
      </c>
      <c r="AO50" s="18">
        <v>165</v>
      </c>
      <c r="AP50" s="30">
        <f t="shared" si="27"/>
        <v>3.125</v>
      </c>
      <c r="AQ50" s="17">
        <v>35</v>
      </c>
      <c r="AR50" s="18">
        <v>29</v>
      </c>
      <c r="AS50" s="30">
        <f t="shared" si="28"/>
        <v>-17.142857142857142</v>
      </c>
      <c r="AT50" s="17">
        <v>0.65</v>
      </c>
      <c r="AU50" s="22">
        <v>0.95</v>
      </c>
      <c r="AV50" s="30">
        <f t="shared" si="29"/>
        <v>46.153846153846139</v>
      </c>
      <c r="AW50" s="17">
        <v>0.48</v>
      </c>
      <c r="AX50" s="22">
        <v>0.39</v>
      </c>
      <c r="AY50" s="30">
        <f t="shared" si="30"/>
        <v>-18.749999999999993</v>
      </c>
      <c r="AZ50" s="17">
        <v>0.1</v>
      </c>
      <c r="BA50" s="22">
        <v>0.1</v>
      </c>
      <c r="BB50" s="30">
        <f t="shared" si="31"/>
        <v>0</v>
      </c>
      <c r="BC50" s="17">
        <f t="shared" si="72"/>
        <v>0.38</v>
      </c>
      <c r="BD50" s="17">
        <f t="shared" si="32"/>
        <v>0.29000000000000004</v>
      </c>
      <c r="BE50" s="30">
        <f t="shared" si="33"/>
        <v>-23.68421052631578</v>
      </c>
      <c r="BF50" s="17">
        <v>104</v>
      </c>
      <c r="BG50" s="18">
        <v>52</v>
      </c>
      <c r="BH50" s="17">
        <v>17</v>
      </c>
      <c r="BI50" s="18">
        <v>13</v>
      </c>
      <c r="BJ50" s="17">
        <v>33</v>
      </c>
      <c r="BK50" s="18">
        <v>24</v>
      </c>
      <c r="BL50" s="17">
        <v>4.0999999999999996</v>
      </c>
      <c r="BM50" s="23">
        <v>3.8</v>
      </c>
      <c r="BN50" s="30">
        <f t="shared" si="34"/>
        <v>-7.317073170731704</v>
      </c>
      <c r="BO50" s="17">
        <v>7.34</v>
      </c>
      <c r="BP50" s="22">
        <v>6.86</v>
      </c>
      <c r="BQ50" s="30">
        <f t="shared" si="35"/>
        <v>-6.5395095367847347</v>
      </c>
      <c r="BR50" s="17">
        <v>3.88</v>
      </c>
      <c r="BS50" s="22">
        <v>3.98</v>
      </c>
      <c r="BT50" s="30">
        <f t="shared" si="36"/>
        <v>2.5773195876288684</v>
      </c>
      <c r="BU50" s="17">
        <f t="shared" si="73"/>
        <v>3.46</v>
      </c>
      <c r="BV50" s="17">
        <f t="shared" si="55"/>
        <v>2.8800000000000003</v>
      </c>
      <c r="BW50" s="30">
        <f t="shared" si="37"/>
        <v>-16.763005780346809</v>
      </c>
      <c r="BX50" s="17">
        <v>233</v>
      </c>
      <c r="BY50" s="18">
        <v>242</v>
      </c>
      <c r="BZ50" s="30">
        <f t="shared" si="38"/>
        <v>3.8626609442060089</v>
      </c>
      <c r="CA50" s="17">
        <v>56</v>
      </c>
      <c r="CB50" s="18">
        <v>46</v>
      </c>
      <c r="CC50" s="30">
        <f t="shared" si="39"/>
        <v>-17.857142857142858</v>
      </c>
      <c r="CD50" s="17">
        <f t="shared" si="77"/>
        <v>144.6</v>
      </c>
      <c r="CE50" s="17">
        <f t="shared" si="78"/>
        <v>139.6</v>
      </c>
      <c r="CF50" s="30">
        <f t="shared" si="40"/>
        <v>-3.4578146611341634</v>
      </c>
      <c r="CG50" s="17">
        <v>162</v>
      </c>
      <c r="CH50" s="18">
        <v>282</v>
      </c>
      <c r="CI50" s="30">
        <f t="shared" si="41"/>
        <v>74.074074074074076</v>
      </c>
      <c r="CJ50" s="17">
        <v>4.2</v>
      </c>
      <c r="CK50" s="23">
        <v>2.9</v>
      </c>
      <c r="CL50" s="30">
        <f t="shared" si="42"/>
        <v>-30.95238095238096</v>
      </c>
      <c r="CM50" s="17">
        <v>7.6</v>
      </c>
      <c r="CN50" s="18">
        <v>8.3000000000000007</v>
      </c>
      <c r="CO50" s="30">
        <f t="shared" si="43"/>
        <v>9.2105263157894885</v>
      </c>
      <c r="CP50" s="17">
        <v>25.7</v>
      </c>
      <c r="CQ50" s="18">
        <v>42.3</v>
      </c>
      <c r="CR50" s="17">
        <v>24.3</v>
      </c>
      <c r="CS50" s="18">
        <v>36.799999999999997</v>
      </c>
      <c r="CT50" s="17">
        <f t="shared" si="63"/>
        <v>3.0248756218905473</v>
      </c>
      <c r="CU50" s="17">
        <f t="shared" si="64"/>
        <v>3.4067164179104483</v>
      </c>
      <c r="CV50" s="30">
        <f t="shared" si="44"/>
        <v>12.623355263157912</v>
      </c>
      <c r="CW50" s="19">
        <f t="shared" si="65"/>
        <v>1.4382716049382716</v>
      </c>
      <c r="CX50" s="20">
        <f t="shared" si="66"/>
        <v>0.85815602836879434</v>
      </c>
      <c r="CY50" s="19">
        <f t="shared" si="79"/>
        <v>0.8925925925925926</v>
      </c>
      <c r="CZ50" s="20">
        <f t="shared" si="80"/>
        <v>0.49503546099290779</v>
      </c>
      <c r="DA50" s="19">
        <f t="shared" si="74"/>
        <v>4.1607142857142856</v>
      </c>
      <c r="DB50" s="20">
        <f t="shared" si="69"/>
        <v>5.2608695652173916</v>
      </c>
      <c r="DC50" s="19">
        <f t="shared" si="75"/>
        <v>2.5821428571428569</v>
      </c>
      <c r="DD50" s="20">
        <f t="shared" si="70"/>
        <v>3.034782608695652</v>
      </c>
      <c r="DE50" s="19">
        <f t="shared" si="76"/>
        <v>177</v>
      </c>
      <c r="DF50" s="20">
        <f t="shared" si="71"/>
        <v>196</v>
      </c>
      <c r="DG50" s="19" t="s">
        <v>270</v>
      </c>
      <c r="DH50" s="16">
        <v>28.7</v>
      </c>
      <c r="DI50" s="19" t="s">
        <v>271</v>
      </c>
      <c r="DJ50" s="16">
        <v>318.76</v>
      </c>
      <c r="DK50" s="19" t="s">
        <v>272</v>
      </c>
      <c r="DL50" s="16">
        <v>78.59</v>
      </c>
      <c r="DM50" s="30">
        <f t="shared" si="45"/>
        <v>-8.9761408385452857</v>
      </c>
      <c r="DN50" s="19">
        <v>983.05</v>
      </c>
      <c r="DO50" s="16">
        <v>1004.26</v>
      </c>
      <c r="DP50" s="30">
        <f t="shared" si="46"/>
        <v>2.1575708254920949</v>
      </c>
      <c r="DQ50" s="19" t="s">
        <v>273</v>
      </c>
      <c r="DR50" s="16">
        <v>5.57</v>
      </c>
      <c r="DS50" s="30">
        <f t="shared" si="47"/>
        <v>82.026143790849687</v>
      </c>
      <c r="DT50" s="21">
        <v>167.27</v>
      </c>
      <c r="DU50" s="16">
        <v>433.5</v>
      </c>
      <c r="DV50" s="30">
        <f t="shared" si="48"/>
        <v>159.16183416033957</v>
      </c>
      <c r="DW50" s="19">
        <v>0.18099999999999999</v>
      </c>
      <c r="DX50" s="16">
        <v>0.83199999999999996</v>
      </c>
      <c r="DY50" s="30">
        <f t="shared" si="49"/>
        <v>359.66850828729287</v>
      </c>
      <c r="DZ50" s="19">
        <v>707476.32</v>
      </c>
      <c r="EA50" s="16">
        <v>2119337.37</v>
      </c>
      <c r="EB50" s="30">
        <f t="shared" si="50"/>
        <v>199.56301152242105</v>
      </c>
      <c r="EC50" s="19">
        <v>7.53</v>
      </c>
      <c r="ED50" s="16">
        <v>1.06</v>
      </c>
      <c r="EE50" s="30">
        <f t="shared" si="51"/>
        <v>-85.922974767596287</v>
      </c>
      <c r="EF50" s="19">
        <f t="shared" si="67"/>
        <v>239.76829268292684</v>
      </c>
      <c r="EG50" s="20">
        <f t="shared" si="68"/>
        <v>264.27894736842109</v>
      </c>
      <c r="EH50" s="16">
        <v>45.42</v>
      </c>
      <c r="EI50" s="16">
        <v>30.82</v>
      </c>
      <c r="EJ50" s="30">
        <f t="shared" si="52"/>
        <v>-32.144429766622636</v>
      </c>
      <c r="EK50" s="16">
        <v>54.37</v>
      </c>
      <c r="EL50" s="16">
        <v>43.68</v>
      </c>
      <c r="EM50" s="30">
        <f t="shared" si="53"/>
        <v>-19.661578076144927</v>
      </c>
    </row>
    <row r="51" spans="1:143">
      <c r="A51" s="16">
        <v>31</v>
      </c>
      <c r="B51" s="16">
        <v>2</v>
      </c>
      <c r="C51" s="16">
        <v>1</v>
      </c>
      <c r="D51" s="16">
        <v>59</v>
      </c>
      <c r="E51" s="16">
        <v>2</v>
      </c>
      <c r="F51" s="16" t="s">
        <v>274</v>
      </c>
      <c r="G51" s="16">
        <v>1</v>
      </c>
      <c r="H51" s="16">
        <v>1</v>
      </c>
      <c r="I51" s="16">
        <v>105.1</v>
      </c>
      <c r="J51" s="16">
        <v>103.6</v>
      </c>
      <c r="K51" s="30">
        <f t="shared" si="18"/>
        <v>-1.4272121788772598</v>
      </c>
      <c r="L51" s="16">
        <v>1.77</v>
      </c>
      <c r="M51" s="16">
        <v>1.77</v>
      </c>
      <c r="N51" s="16">
        <v>33.57</v>
      </c>
      <c r="O51" s="16">
        <v>33.090000000000003</v>
      </c>
      <c r="P51" s="30">
        <f t="shared" si="19"/>
        <v>-1.429848078641635</v>
      </c>
      <c r="Q51" s="16">
        <v>115</v>
      </c>
      <c r="R51" s="16">
        <v>101.5</v>
      </c>
      <c r="S51" s="30">
        <f t="shared" si="20"/>
        <v>-11.739130434782609</v>
      </c>
      <c r="T51" s="16">
        <v>114</v>
      </c>
      <c r="U51" s="16">
        <v>114</v>
      </c>
      <c r="V51" s="30">
        <f t="shared" si="21"/>
        <v>0</v>
      </c>
      <c r="W51" s="16">
        <v>114</v>
      </c>
      <c r="X51" s="16">
        <v>108</v>
      </c>
      <c r="Y51" s="30">
        <f t="shared" si="22"/>
        <v>-5.2631578947368416</v>
      </c>
      <c r="Z51" s="16">
        <v>145</v>
      </c>
      <c r="AA51" s="16">
        <v>113</v>
      </c>
      <c r="AB51" s="30">
        <f t="shared" si="23"/>
        <v>-22.068965517241381</v>
      </c>
      <c r="AC51" s="16">
        <v>90</v>
      </c>
      <c r="AD51" s="16">
        <v>42</v>
      </c>
      <c r="AE51" s="30">
        <f t="shared" si="24"/>
        <v>-53.333333333333336</v>
      </c>
      <c r="AF51" s="16">
        <v>22.7</v>
      </c>
      <c r="AG51" s="16">
        <v>22.7</v>
      </c>
      <c r="AH51" s="30">
        <f t="shared" si="25"/>
        <v>0</v>
      </c>
      <c r="AI51" s="16">
        <v>371</v>
      </c>
      <c r="AJ51" s="16"/>
      <c r="AK51" s="30"/>
      <c r="AL51" s="16">
        <v>43</v>
      </c>
      <c r="AM51" s="16"/>
      <c r="AN51" s="17">
        <v>211</v>
      </c>
      <c r="AO51" s="18">
        <v>120</v>
      </c>
      <c r="AP51" s="30">
        <f t="shared" si="27"/>
        <v>-43.127962085308056</v>
      </c>
      <c r="AQ51" s="17">
        <v>63</v>
      </c>
      <c r="AR51" s="18">
        <v>54</v>
      </c>
      <c r="AS51" s="30">
        <f t="shared" si="28"/>
        <v>-14.285714285714285</v>
      </c>
      <c r="AT51" s="17">
        <v>1.47</v>
      </c>
      <c r="AU51" s="22">
        <v>1.55</v>
      </c>
      <c r="AV51" s="30">
        <f t="shared" si="29"/>
        <v>5.4421768707483036</v>
      </c>
      <c r="AW51" s="17">
        <v>0.56999999999999995</v>
      </c>
      <c r="AX51" s="22">
        <v>0.99</v>
      </c>
      <c r="AY51" s="30">
        <f t="shared" si="30"/>
        <v>73.684210526315809</v>
      </c>
      <c r="AZ51" s="17">
        <v>0.12</v>
      </c>
      <c r="BA51" s="22">
        <v>0.19</v>
      </c>
      <c r="BB51" s="30">
        <f t="shared" si="31"/>
        <v>58.333333333333336</v>
      </c>
      <c r="BC51" s="17">
        <f t="shared" si="72"/>
        <v>0.44999999999999996</v>
      </c>
      <c r="BD51" s="17">
        <f t="shared" si="32"/>
        <v>0.8</v>
      </c>
      <c r="BE51" s="30">
        <f t="shared" si="33"/>
        <v>77.7777777777778</v>
      </c>
      <c r="BF51" s="17">
        <v>47</v>
      </c>
      <c r="BG51" s="18">
        <v>40</v>
      </c>
      <c r="BH51" s="17">
        <v>24</v>
      </c>
      <c r="BI51" s="18">
        <v>22</v>
      </c>
      <c r="BJ51" s="17">
        <v>30</v>
      </c>
      <c r="BK51" s="18">
        <v>27</v>
      </c>
      <c r="BL51" s="17">
        <v>5.7</v>
      </c>
      <c r="BM51" s="23">
        <v>7.1</v>
      </c>
      <c r="BN51" s="30">
        <f t="shared" si="34"/>
        <v>24.561403508771921</v>
      </c>
      <c r="BO51" s="17">
        <v>8.14</v>
      </c>
      <c r="BP51" s="22">
        <v>7.52</v>
      </c>
      <c r="BQ51" s="30">
        <f t="shared" si="35"/>
        <v>-7.616707616707628</v>
      </c>
      <c r="BR51" s="17">
        <v>4.0199999999999996</v>
      </c>
      <c r="BS51" s="22">
        <v>3.95</v>
      </c>
      <c r="BT51" s="30">
        <f t="shared" si="36"/>
        <v>-1.7412935323382936</v>
      </c>
      <c r="BU51" s="17">
        <f t="shared" si="73"/>
        <v>4.120000000000001</v>
      </c>
      <c r="BV51" s="17">
        <f t="shared" si="55"/>
        <v>3.5699999999999994</v>
      </c>
      <c r="BW51" s="30">
        <f t="shared" si="37"/>
        <v>-13.349514563106831</v>
      </c>
      <c r="BX51" s="17">
        <v>239</v>
      </c>
      <c r="BY51" s="18">
        <v>233</v>
      </c>
      <c r="BZ51" s="30">
        <f t="shared" si="38"/>
        <v>-2.510460251046025</v>
      </c>
      <c r="CA51" s="17">
        <v>42</v>
      </c>
      <c r="CB51" s="18">
        <v>36</v>
      </c>
      <c r="CC51" s="30">
        <f t="shared" si="39"/>
        <v>-14.285714285714285</v>
      </c>
      <c r="CD51" s="17">
        <f t="shared" si="77"/>
        <v>179.6</v>
      </c>
      <c r="CE51" s="17">
        <f t="shared" si="78"/>
        <v>165.2</v>
      </c>
      <c r="CF51" s="30">
        <f t="shared" si="40"/>
        <v>-8.0178173719376424</v>
      </c>
      <c r="CG51" s="17">
        <v>87</v>
      </c>
      <c r="CH51" s="18">
        <v>159</v>
      </c>
      <c r="CI51" s="30">
        <f t="shared" si="41"/>
        <v>82.758620689655174</v>
      </c>
      <c r="CJ51" s="17">
        <v>2.2999999999999998</v>
      </c>
      <c r="CK51" s="23">
        <v>2.2000000000000002</v>
      </c>
      <c r="CL51" s="30">
        <f t="shared" si="42"/>
        <v>-4.3478260869565064</v>
      </c>
      <c r="CM51" s="17">
        <v>16.8</v>
      </c>
      <c r="CN51" s="18">
        <v>8.9</v>
      </c>
      <c r="CO51" s="30">
        <f t="shared" si="43"/>
        <v>-47.023809523809526</v>
      </c>
      <c r="CP51" s="17">
        <v>19.2</v>
      </c>
      <c r="CQ51" s="18">
        <v>29.4</v>
      </c>
      <c r="CR51" s="17">
        <v>71.599999999999994</v>
      </c>
      <c r="CS51" s="18">
        <v>88.6</v>
      </c>
      <c r="CT51" s="17">
        <f t="shared" si="63"/>
        <v>8.8179104477611947</v>
      </c>
      <c r="CU51" s="17">
        <f t="shared" si="64"/>
        <v>2.6567164179104479</v>
      </c>
      <c r="CV51" s="30">
        <f t="shared" si="44"/>
        <v>-69.871360866621529</v>
      </c>
      <c r="CW51" s="19">
        <f t="shared" si="65"/>
        <v>2.7471264367816093</v>
      </c>
      <c r="CX51" s="20">
        <f t="shared" si="66"/>
        <v>1.4654088050314464</v>
      </c>
      <c r="CY51" s="19">
        <f t="shared" si="79"/>
        <v>2.0643678160919539</v>
      </c>
      <c r="CZ51" s="20">
        <f t="shared" si="80"/>
        <v>1.0389937106918239</v>
      </c>
      <c r="DA51" s="19">
        <f t="shared" si="74"/>
        <v>5.6904761904761907</v>
      </c>
      <c r="DB51" s="20">
        <f t="shared" si="69"/>
        <v>6.4722222222222223</v>
      </c>
      <c r="DC51" s="19">
        <f t="shared" si="75"/>
        <v>4.2761904761904761</v>
      </c>
      <c r="DD51" s="20">
        <f t="shared" si="70"/>
        <v>4.5888888888888886</v>
      </c>
      <c r="DE51" s="19">
        <f t="shared" si="76"/>
        <v>197</v>
      </c>
      <c r="DF51" s="20">
        <f t="shared" si="71"/>
        <v>197</v>
      </c>
      <c r="DG51" s="19" t="s">
        <v>275</v>
      </c>
      <c r="DH51" s="16">
        <v>58.1</v>
      </c>
      <c r="DI51" s="19" t="s">
        <v>276</v>
      </c>
      <c r="DJ51" s="16">
        <v>300.56</v>
      </c>
      <c r="DK51" s="19" t="s">
        <v>277</v>
      </c>
      <c r="DL51" s="16">
        <v>83.14</v>
      </c>
      <c r="DM51" s="30">
        <f t="shared" si="45"/>
        <v>29.139484311898116</v>
      </c>
      <c r="DN51" s="19">
        <v>1063.55</v>
      </c>
      <c r="DO51" s="16">
        <v>1212.26</v>
      </c>
      <c r="DP51" s="30">
        <f t="shared" si="46"/>
        <v>13.982417375769831</v>
      </c>
      <c r="DQ51" s="19" t="s">
        <v>278</v>
      </c>
      <c r="DR51" s="16">
        <v>11.97</v>
      </c>
      <c r="DS51" s="30">
        <f t="shared" si="47"/>
        <v>29.265658747300229</v>
      </c>
      <c r="DT51" s="21">
        <v>161.08000000000001</v>
      </c>
      <c r="DU51" s="16">
        <v>447.75</v>
      </c>
      <c r="DV51" s="30">
        <f t="shared" si="48"/>
        <v>177.9674695803327</v>
      </c>
      <c r="DW51" s="19">
        <v>0.46400000000000002</v>
      </c>
      <c r="DX51" s="16">
        <v>0.72199999999999998</v>
      </c>
      <c r="DY51" s="30">
        <f t="shared" si="49"/>
        <v>55.603448275862057</v>
      </c>
      <c r="DZ51" s="19">
        <v>462100.33</v>
      </c>
      <c r="EA51" s="16">
        <v>4432842.29</v>
      </c>
      <c r="EB51" s="30">
        <f t="shared" si="50"/>
        <v>859.28135130308169</v>
      </c>
      <c r="EC51" s="19">
        <v>3.5000000000000003E-2</v>
      </c>
      <c r="ED51" s="16">
        <v>1.41</v>
      </c>
      <c r="EE51" s="30">
        <f t="shared" si="51"/>
        <v>3928.5714285714284</v>
      </c>
      <c r="EF51" s="19">
        <f t="shared" si="67"/>
        <v>186.58771929824559</v>
      </c>
      <c r="EG51" s="20">
        <f t="shared" si="68"/>
        <v>170.74084507042255</v>
      </c>
      <c r="EH51" s="16">
        <v>43.36</v>
      </c>
      <c r="EI51" s="16">
        <v>34.57</v>
      </c>
      <c r="EJ51" s="30">
        <f t="shared" si="52"/>
        <v>-20.272140221402214</v>
      </c>
      <c r="EK51" s="16">
        <v>36.99</v>
      </c>
      <c r="EL51" s="16">
        <v>36.94</v>
      </c>
      <c r="EM51" s="30">
        <f t="shared" si="53"/>
        <v>-0.13517166801839486</v>
      </c>
    </row>
    <row r="52" spans="1:143">
      <c r="A52" s="16">
        <v>32</v>
      </c>
      <c r="B52" s="16">
        <v>2</v>
      </c>
      <c r="C52" s="16">
        <v>1</v>
      </c>
      <c r="D52" s="16">
        <v>59</v>
      </c>
      <c r="E52" s="16">
        <v>1</v>
      </c>
      <c r="F52" s="16" t="s">
        <v>279</v>
      </c>
      <c r="G52" s="16">
        <v>2</v>
      </c>
      <c r="H52" s="16">
        <v>2</v>
      </c>
      <c r="I52" s="16">
        <v>71</v>
      </c>
      <c r="J52" s="16">
        <v>69.2</v>
      </c>
      <c r="K52" s="30">
        <f t="shared" si="18"/>
        <v>-2.5352112676056295</v>
      </c>
      <c r="L52" s="16">
        <v>1.5</v>
      </c>
      <c r="M52" s="16">
        <v>1.5</v>
      </c>
      <c r="N52" s="16">
        <v>31.5</v>
      </c>
      <c r="O52" s="16">
        <v>30.76</v>
      </c>
      <c r="P52" s="30">
        <f t="shared" si="19"/>
        <v>-2.3492063492063444</v>
      </c>
      <c r="Q52" s="16">
        <v>86</v>
      </c>
      <c r="R52" s="16">
        <v>87</v>
      </c>
      <c r="S52" s="30">
        <f t="shared" si="20"/>
        <v>1.1627906976744187</v>
      </c>
      <c r="T52" s="16">
        <v>100</v>
      </c>
      <c r="U52" s="16">
        <v>96</v>
      </c>
      <c r="V52" s="30">
        <f t="shared" si="21"/>
        <v>-4</v>
      </c>
      <c r="W52" s="16">
        <v>109</v>
      </c>
      <c r="X52" s="16">
        <v>111</v>
      </c>
      <c r="Y52" s="30">
        <f t="shared" si="22"/>
        <v>1.834862385321101</v>
      </c>
      <c r="Z52" s="16">
        <v>130</v>
      </c>
      <c r="AA52" s="16">
        <v>124</v>
      </c>
      <c r="AB52" s="30">
        <f t="shared" si="23"/>
        <v>-4.6153846153846159</v>
      </c>
      <c r="AC52" s="16">
        <v>85</v>
      </c>
      <c r="AD52" s="16">
        <v>53</v>
      </c>
      <c r="AE52" s="30">
        <f t="shared" si="24"/>
        <v>-37.647058823529413</v>
      </c>
      <c r="AF52" s="16">
        <v>42.7</v>
      </c>
      <c r="AG52" s="16">
        <v>42.7</v>
      </c>
      <c r="AH52" s="30">
        <f t="shared" si="25"/>
        <v>0</v>
      </c>
      <c r="AI52" s="16">
        <v>499</v>
      </c>
      <c r="AJ52" s="16"/>
      <c r="AK52" s="30"/>
      <c r="AL52" s="16">
        <v>44</v>
      </c>
      <c r="AM52" s="16"/>
      <c r="AN52" s="25">
        <v>84</v>
      </c>
      <c r="AO52" s="18">
        <v>96</v>
      </c>
      <c r="AP52" s="30">
        <f t="shared" si="27"/>
        <v>14.285714285714285</v>
      </c>
      <c r="AQ52" s="25">
        <v>49</v>
      </c>
      <c r="AR52" s="18">
        <v>46</v>
      </c>
      <c r="AS52" s="30">
        <f t="shared" si="28"/>
        <v>-6.1224489795918364</v>
      </c>
      <c r="AT52" s="25">
        <v>0.93</v>
      </c>
      <c r="AU52" s="18">
        <v>0.97</v>
      </c>
      <c r="AV52" s="30">
        <f t="shared" si="29"/>
        <v>4.301075268817196</v>
      </c>
      <c r="AW52" s="25">
        <v>0.35</v>
      </c>
      <c r="AX52" s="18">
        <v>0.4</v>
      </c>
      <c r="AY52" s="30">
        <f t="shared" si="30"/>
        <v>14.285714285714299</v>
      </c>
      <c r="AZ52" s="25">
        <v>0.1</v>
      </c>
      <c r="BA52" s="18">
        <v>0.1</v>
      </c>
      <c r="BB52" s="30">
        <f t="shared" si="31"/>
        <v>0</v>
      </c>
      <c r="BC52" s="25">
        <f t="shared" si="72"/>
        <v>0.24999999999999997</v>
      </c>
      <c r="BD52" s="17">
        <f t="shared" si="32"/>
        <v>0.30000000000000004</v>
      </c>
      <c r="BE52" s="30">
        <f t="shared" si="33"/>
        <v>20.000000000000032</v>
      </c>
      <c r="BF52" s="25">
        <v>31</v>
      </c>
      <c r="BG52" s="18">
        <v>36</v>
      </c>
      <c r="BH52" s="25">
        <v>13</v>
      </c>
      <c r="BI52" s="18">
        <v>18</v>
      </c>
      <c r="BJ52" s="25">
        <v>26</v>
      </c>
      <c r="BK52" s="18">
        <v>26</v>
      </c>
      <c r="BL52" s="25">
        <v>4.8</v>
      </c>
      <c r="BM52" s="18">
        <v>5.3</v>
      </c>
      <c r="BN52" s="30">
        <f t="shared" si="34"/>
        <v>10.416666666666668</v>
      </c>
      <c r="BO52" s="25">
        <v>6.76</v>
      </c>
      <c r="BP52" s="18">
        <v>7.08</v>
      </c>
      <c r="BQ52" s="30">
        <f t="shared" si="35"/>
        <v>4.7337278106508913</v>
      </c>
      <c r="BR52" s="25">
        <v>3.39</v>
      </c>
      <c r="BS52" s="18">
        <v>3.65</v>
      </c>
      <c r="BT52" s="30">
        <f t="shared" si="36"/>
        <v>7.669616519174034</v>
      </c>
      <c r="BU52" s="25">
        <f>BO52-BR52</f>
        <v>3.3699999999999997</v>
      </c>
      <c r="BV52" s="17">
        <f t="shared" si="55"/>
        <v>3.43</v>
      </c>
      <c r="BW52" s="30">
        <f t="shared" si="37"/>
        <v>1.7804154302670774</v>
      </c>
      <c r="BX52" s="25">
        <v>200</v>
      </c>
      <c r="BY52" s="18">
        <v>244</v>
      </c>
      <c r="BZ52" s="30">
        <f t="shared" si="38"/>
        <v>22</v>
      </c>
      <c r="CA52" s="25">
        <v>59</v>
      </c>
      <c r="CB52" s="18">
        <v>60</v>
      </c>
      <c r="CC52" s="30">
        <f t="shared" si="39"/>
        <v>1.6949152542372881</v>
      </c>
      <c r="CD52" s="25">
        <f t="shared" si="77"/>
        <v>102.8</v>
      </c>
      <c r="CE52" s="17">
        <f t="shared" si="78"/>
        <v>147.6</v>
      </c>
      <c r="CF52" s="30">
        <f t="shared" si="40"/>
        <v>43.579766536964982</v>
      </c>
      <c r="CG52" s="25">
        <v>191</v>
      </c>
      <c r="CH52" s="18">
        <v>182</v>
      </c>
      <c r="CI52" s="30">
        <f t="shared" si="41"/>
        <v>-4.7120418848167542</v>
      </c>
      <c r="CJ52" s="25">
        <v>2.2000000000000002</v>
      </c>
      <c r="CK52" s="18">
        <v>3.1</v>
      </c>
      <c r="CL52" s="30">
        <f t="shared" si="42"/>
        <v>40.909090909090899</v>
      </c>
      <c r="CM52" s="25">
        <v>14.4</v>
      </c>
      <c r="CN52" s="18">
        <v>24.5</v>
      </c>
      <c r="CO52" s="30">
        <f t="shared" si="43"/>
        <v>70.138888888888886</v>
      </c>
      <c r="CP52" s="25">
        <v>12.6</v>
      </c>
      <c r="CQ52" s="18">
        <v>60.9</v>
      </c>
      <c r="CR52" s="25">
        <v>69.599999999999994</v>
      </c>
      <c r="CS52" s="18">
        <v>44</v>
      </c>
      <c r="CT52" s="17">
        <f t="shared" si="63"/>
        <v>3.0089552238805974</v>
      </c>
      <c r="CU52" s="17">
        <f t="shared" si="64"/>
        <v>5.8507462686567164</v>
      </c>
      <c r="CV52" s="30">
        <f t="shared" si="44"/>
        <v>94.444444444444414</v>
      </c>
      <c r="CW52" s="19">
        <f t="shared" si="65"/>
        <v>1.0471204188481675</v>
      </c>
      <c r="CX52" s="20">
        <f t="shared" si="66"/>
        <v>1.3406593406593406</v>
      </c>
      <c r="CY52" s="19">
        <f t="shared" si="79"/>
        <v>0.53821989528795811</v>
      </c>
      <c r="CZ52" s="20">
        <f t="shared" si="80"/>
        <v>0.81098901098901099</v>
      </c>
      <c r="DA52" s="19">
        <f t="shared" si="74"/>
        <v>3.3898305084745761</v>
      </c>
      <c r="DB52" s="20">
        <f t="shared" si="69"/>
        <v>4.0666666666666664</v>
      </c>
      <c r="DC52" s="19">
        <f t="shared" si="75"/>
        <v>1.742372881355932</v>
      </c>
      <c r="DD52" s="20">
        <f t="shared" si="70"/>
        <v>2.46</v>
      </c>
      <c r="DE52" s="19">
        <f t="shared" si="76"/>
        <v>141</v>
      </c>
      <c r="DF52" s="20">
        <f t="shared" si="71"/>
        <v>184</v>
      </c>
      <c r="DG52" s="19"/>
      <c r="DH52" s="16">
        <v>22.8</v>
      </c>
      <c r="DI52" s="19" t="s">
        <v>280</v>
      </c>
      <c r="DJ52" s="16">
        <v>203.72</v>
      </c>
      <c r="DK52" s="19" t="s">
        <v>281</v>
      </c>
      <c r="DL52" s="16">
        <v>123.03</v>
      </c>
      <c r="DM52" s="30">
        <f t="shared" si="45"/>
        <v>34.91610922250247</v>
      </c>
      <c r="DN52" s="19">
        <v>905.19</v>
      </c>
      <c r="DO52" s="16">
        <v>913.71</v>
      </c>
      <c r="DP52" s="30">
        <f t="shared" si="46"/>
        <v>0.94123885593079704</v>
      </c>
      <c r="DQ52" s="19" t="s">
        <v>282</v>
      </c>
      <c r="DR52" s="16">
        <v>9.1999999999999993</v>
      </c>
      <c r="DS52" s="30">
        <f t="shared" si="47"/>
        <v>18.100128369704741</v>
      </c>
      <c r="DT52" s="21">
        <v>336.65</v>
      </c>
      <c r="DU52" s="16">
        <v>403.02</v>
      </c>
      <c r="DV52" s="30">
        <f t="shared" si="48"/>
        <v>19.714837368186547</v>
      </c>
      <c r="DW52" s="19">
        <v>0.19600000000000001</v>
      </c>
      <c r="DX52" s="16">
        <v>0.36799999999999999</v>
      </c>
      <c r="DY52" s="30">
        <f t="shared" si="49"/>
        <v>87.755102040816311</v>
      </c>
      <c r="DZ52" s="19">
        <v>103887.36</v>
      </c>
      <c r="EA52" s="16">
        <v>1630372.38</v>
      </c>
      <c r="EB52" s="30">
        <f t="shared" si="50"/>
        <v>1469.3654935499369</v>
      </c>
      <c r="EC52" s="19">
        <v>123</v>
      </c>
      <c r="ED52" s="16">
        <v>1.23</v>
      </c>
      <c r="EE52" s="30">
        <f t="shared" si="51"/>
        <v>-99</v>
      </c>
      <c r="EF52" s="19">
        <f t="shared" si="67"/>
        <v>188.58125000000001</v>
      </c>
      <c r="EG52" s="20">
        <f t="shared" si="68"/>
        <v>172.39811320754717</v>
      </c>
      <c r="EH52" s="16">
        <v>49.62</v>
      </c>
      <c r="EI52" s="16">
        <v>63.06</v>
      </c>
      <c r="EJ52" s="30">
        <f t="shared" si="52"/>
        <v>27.08585247883919</v>
      </c>
      <c r="EK52" s="16">
        <v>79.34</v>
      </c>
      <c r="EL52" s="16">
        <v>51.46</v>
      </c>
      <c r="EM52" s="30">
        <f t="shared" si="53"/>
        <v>-35.139904209730275</v>
      </c>
    </row>
    <row r="53" spans="1:143">
      <c r="A53" s="16">
        <v>33</v>
      </c>
      <c r="B53" s="16">
        <v>2</v>
      </c>
      <c r="C53" s="16">
        <v>1</v>
      </c>
      <c r="D53" s="16">
        <v>55</v>
      </c>
      <c r="E53" s="16">
        <v>1</v>
      </c>
      <c r="F53" s="16" t="s">
        <v>283</v>
      </c>
      <c r="G53" s="16">
        <v>2</v>
      </c>
      <c r="H53" s="16">
        <v>1</v>
      </c>
      <c r="I53" s="16">
        <v>75.3</v>
      </c>
      <c r="J53" s="16">
        <v>76.2</v>
      </c>
      <c r="K53" s="30">
        <f t="shared" si="18"/>
        <v>1.1952191235059837</v>
      </c>
      <c r="L53" s="16">
        <v>1.51</v>
      </c>
      <c r="M53" s="16">
        <v>1.51</v>
      </c>
      <c r="N53" s="16">
        <v>33.03</v>
      </c>
      <c r="O53" s="16">
        <v>33.42</v>
      </c>
      <c r="P53" s="30">
        <f t="shared" si="19"/>
        <v>1.1807447774750244</v>
      </c>
      <c r="Q53" s="16">
        <v>100</v>
      </c>
      <c r="R53" s="16">
        <v>97</v>
      </c>
      <c r="S53" s="30">
        <f t="shared" si="20"/>
        <v>-3</v>
      </c>
      <c r="T53" s="16">
        <v>98</v>
      </c>
      <c r="U53" s="16">
        <v>98</v>
      </c>
      <c r="V53" s="30">
        <f t="shared" si="21"/>
        <v>0</v>
      </c>
      <c r="W53" s="16">
        <v>104</v>
      </c>
      <c r="X53" s="16">
        <v>106</v>
      </c>
      <c r="Y53" s="30">
        <f t="shared" si="22"/>
        <v>1.9230769230769231</v>
      </c>
      <c r="Z53" s="16">
        <v>145</v>
      </c>
      <c r="AA53" s="16">
        <v>135</v>
      </c>
      <c r="AB53" s="30">
        <f t="shared" si="23"/>
        <v>-6.8965517241379306</v>
      </c>
      <c r="AC53" s="16">
        <v>90</v>
      </c>
      <c r="AD53" s="16">
        <v>90</v>
      </c>
      <c r="AE53" s="30">
        <f t="shared" si="24"/>
        <v>0</v>
      </c>
      <c r="AF53" s="16">
        <v>45.7</v>
      </c>
      <c r="AG53" s="16">
        <v>27.8</v>
      </c>
      <c r="AH53" s="30">
        <f t="shared" si="25"/>
        <v>-39.168490153172868</v>
      </c>
      <c r="AI53" s="16">
        <v>501</v>
      </c>
      <c r="AJ53" s="16">
        <v>402</v>
      </c>
      <c r="AK53" s="30">
        <f t="shared" si="26"/>
        <v>-19.760479041916167</v>
      </c>
      <c r="AL53" s="16">
        <v>45</v>
      </c>
      <c r="AM53" s="16">
        <v>43</v>
      </c>
      <c r="AN53" s="17">
        <v>133</v>
      </c>
      <c r="AO53" s="18">
        <v>119</v>
      </c>
      <c r="AP53" s="30">
        <f t="shared" si="27"/>
        <v>-10.526315789473683</v>
      </c>
      <c r="AQ53" s="17">
        <v>22</v>
      </c>
      <c r="AR53" s="18">
        <v>24</v>
      </c>
      <c r="AS53" s="30">
        <f t="shared" si="28"/>
        <v>9.0909090909090917</v>
      </c>
      <c r="AT53" s="17">
        <v>0.78</v>
      </c>
      <c r="AU53" s="22">
        <v>0.82</v>
      </c>
      <c r="AV53" s="30">
        <f t="shared" si="29"/>
        <v>5.128205128205118</v>
      </c>
      <c r="AW53" s="17">
        <v>0.66</v>
      </c>
      <c r="AX53" s="22">
        <v>0.51</v>
      </c>
      <c r="AY53" s="30">
        <f t="shared" si="30"/>
        <v>-22.72727272727273</v>
      </c>
      <c r="AZ53" s="17">
        <v>0.15</v>
      </c>
      <c r="BA53" s="22">
        <v>0.15</v>
      </c>
      <c r="BB53" s="30">
        <f t="shared" si="31"/>
        <v>0</v>
      </c>
      <c r="BC53" s="17">
        <f t="shared" si="72"/>
        <v>0.51</v>
      </c>
      <c r="BD53" s="17">
        <f t="shared" si="32"/>
        <v>0.36</v>
      </c>
      <c r="BE53" s="30">
        <f t="shared" si="33"/>
        <v>-29.411764705882359</v>
      </c>
      <c r="BF53" s="17">
        <v>40</v>
      </c>
      <c r="BG53" s="18">
        <v>41</v>
      </c>
      <c r="BH53" s="17">
        <v>18</v>
      </c>
      <c r="BI53" s="18">
        <v>15</v>
      </c>
      <c r="BJ53" s="17">
        <v>42</v>
      </c>
      <c r="BK53" s="18">
        <v>33</v>
      </c>
      <c r="BL53" s="17">
        <v>5.3</v>
      </c>
      <c r="BM53" s="23">
        <v>5.9</v>
      </c>
      <c r="BN53" s="30">
        <f t="shared" si="34"/>
        <v>11.320754716981142</v>
      </c>
      <c r="BO53" s="17">
        <v>7.75</v>
      </c>
      <c r="BP53" s="22">
        <v>7.05</v>
      </c>
      <c r="BQ53" s="30">
        <f t="shared" si="35"/>
        <v>-9.0322580645161317</v>
      </c>
      <c r="BR53" s="17">
        <v>4.16</v>
      </c>
      <c r="BS53" s="22">
        <v>3.9</v>
      </c>
      <c r="BT53" s="30">
        <f t="shared" si="36"/>
        <v>-6.2500000000000053</v>
      </c>
      <c r="BU53" s="17">
        <f t="shared" si="73"/>
        <v>3.59</v>
      </c>
      <c r="BV53" s="17">
        <f t="shared" si="55"/>
        <v>3.15</v>
      </c>
      <c r="BW53" s="30">
        <f t="shared" si="37"/>
        <v>-12.256267409470752</v>
      </c>
      <c r="BX53" s="17">
        <v>232</v>
      </c>
      <c r="BY53" s="18">
        <v>134</v>
      </c>
      <c r="BZ53" s="30">
        <f t="shared" si="38"/>
        <v>-42.241379310344826</v>
      </c>
      <c r="CA53" s="17">
        <v>40</v>
      </c>
      <c r="CB53" s="18">
        <v>43</v>
      </c>
      <c r="CC53" s="30">
        <f t="shared" si="39"/>
        <v>7.5</v>
      </c>
      <c r="CD53" s="17">
        <f t="shared" si="77"/>
        <v>156.4</v>
      </c>
      <c r="CE53" s="17">
        <f t="shared" si="78"/>
        <v>61.8</v>
      </c>
      <c r="CF53" s="30">
        <f t="shared" si="40"/>
        <v>-60.485933503836321</v>
      </c>
      <c r="CG53" s="17">
        <v>178</v>
      </c>
      <c r="CH53" s="18">
        <v>146</v>
      </c>
      <c r="CI53" s="30">
        <f t="shared" si="41"/>
        <v>-17.977528089887642</v>
      </c>
      <c r="CJ53" s="17">
        <v>13.1</v>
      </c>
      <c r="CK53" s="23">
        <v>9.3000000000000007</v>
      </c>
      <c r="CL53" s="30">
        <f t="shared" si="42"/>
        <v>-29.007633587786252</v>
      </c>
      <c r="CM53" s="17">
        <v>14.5</v>
      </c>
      <c r="CN53" s="18">
        <v>10.4</v>
      </c>
      <c r="CO53" s="30">
        <f t="shared" si="43"/>
        <v>-28.275862068965512</v>
      </c>
      <c r="CP53" s="17">
        <v>20.100000000000001</v>
      </c>
      <c r="CQ53" s="18">
        <v>46.1</v>
      </c>
      <c r="CR53" s="17">
        <v>47.8</v>
      </c>
      <c r="CS53" s="18">
        <v>50.1</v>
      </c>
      <c r="CT53" s="17">
        <f t="shared" si="63"/>
        <v>4.7972636815920398</v>
      </c>
      <c r="CU53" s="17">
        <f t="shared" si="64"/>
        <v>3.0786069651741297</v>
      </c>
      <c r="CV53" s="30">
        <f t="shared" si="44"/>
        <v>-35.825771324863872</v>
      </c>
      <c r="CW53" s="19">
        <f t="shared" si="65"/>
        <v>1.303370786516854</v>
      </c>
      <c r="CX53" s="20">
        <f t="shared" si="66"/>
        <v>0.9178082191780822</v>
      </c>
      <c r="CY53" s="19">
        <f t="shared" si="79"/>
        <v>0.87865168539325844</v>
      </c>
      <c r="CZ53" s="20">
        <f t="shared" si="80"/>
        <v>0.42328767123287669</v>
      </c>
      <c r="DA53" s="19">
        <f t="shared" si="74"/>
        <v>5.8</v>
      </c>
      <c r="DB53" s="20">
        <f t="shared" si="69"/>
        <v>3.1162790697674421</v>
      </c>
      <c r="DC53" s="19">
        <f t="shared" si="75"/>
        <v>3.91</v>
      </c>
      <c r="DD53" s="20">
        <f t="shared" si="70"/>
        <v>1.4372093023255814</v>
      </c>
      <c r="DE53" s="19">
        <f t="shared" si="76"/>
        <v>192</v>
      </c>
      <c r="DF53" s="20">
        <f t="shared" si="71"/>
        <v>91</v>
      </c>
      <c r="DG53" s="19" t="s">
        <v>284</v>
      </c>
      <c r="DH53" s="16">
        <v>28.7</v>
      </c>
      <c r="DI53" s="19" t="s">
        <v>285</v>
      </c>
      <c r="DJ53" s="16">
        <v>303.87</v>
      </c>
      <c r="DK53" s="19" t="s">
        <v>286</v>
      </c>
      <c r="DL53" s="16">
        <v>34.06</v>
      </c>
      <c r="DM53" s="30">
        <f t="shared" si="45"/>
        <v>-56.809535886380921</v>
      </c>
      <c r="DN53" s="19">
        <v>1163.1400000000001</v>
      </c>
      <c r="DO53" s="16">
        <v>1127.49</v>
      </c>
      <c r="DP53" s="30">
        <f t="shared" si="46"/>
        <v>-3.0649792802242279</v>
      </c>
      <c r="DQ53" s="19" t="s">
        <v>287</v>
      </c>
      <c r="DR53" s="16">
        <v>14.05</v>
      </c>
      <c r="DS53" s="30">
        <f t="shared" si="47"/>
        <v>129.57516339869281</v>
      </c>
      <c r="DT53" s="21">
        <v>133.87</v>
      </c>
      <c r="DU53" s="16">
        <v>452.96</v>
      </c>
      <c r="DV53" s="30">
        <f t="shared" si="48"/>
        <v>238.35810861283332</v>
      </c>
      <c r="DW53" s="19">
        <v>0.157</v>
      </c>
      <c r="DX53" s="16">
        <v>0.66300000000000003</v>
      </c>
      <c r="DY53" s="30">
        <f t="shared" si="49"/>
        <v>322.29299363057328</v>
      </c>
      <c r="DZ53" s="19">
        <v>389324.06</v>
      </c>
      <c r="EA53" s="16">
        <v>1152230.57</v>
      </c>
      <c r="EB53" s="30">
        <f t="shared" si="50"/>
        <v>195.95668194768132</v>
      </c>
      <c r="EC53" s="19">
        <v>1.23</v>
      </c>
      <c r="ED53" s="16">
        <v>1.23</v>
      </c>
      <c r="EE53" s="30">
        <f t="shared" si="51"/>
        <v>0</v>
      </c>
      <c r="EF53" s="19">
        <f t="shared" si="67"/>
        <v>219.4603773584906</v>
      </c>
      <c r="EG53" s="20">
        <f t="shared" si="68"/>
        <v>191.1</v>
      </c>
      <c r="EH53" s="16">
        <v>47.68</v>
      </c>
      <c r="EI53" s="16">
        <v>47.68</v>
      </c>
      <c r="EJ53" s="30">
        <f t="shared" si="52"/>
        <v>0</v>
      </c>
      <c r="EK53" s="16">
        <v>23.22</v>
      </c>
      <c r="EL53" s="16">
        <v>23.22</v>
      </c>
      <c r="EM53" s="30">
        <f t="shared" si="53"/>
        <v>0</v>
      </c>
    </row>
    <row r="54" spans="1:143">
      <c r="A54" s="16">
        <v>35</v>
      </c>
      <c r="B54" s="16">
        <v>2</v>
      </c>
      <c r="C54" s="16">
        <v>1</v>
      </c>
      <c r="D54" s="16">
        <v>56</v>
      </c>
      <c r="E54" s="16">
        <v>1</v>
      </c>
      <c r="F54" s="16" t="s">
        <v>288</v>
      </c>
      <c r="G54" s="16">
        <v>1</v>
      </c>
      <c r="H54" s="16">
        <v>1</v>
      </c>
      <c r="I54" s="16">
        <v>113</v>
      </c>
      <c r="J54" s="16">
        <v>113.4</v>
      </c>
      <c r="K54" s="30">
        <f t="shared" si="18"/>
        <v>0.3539823008849608</v>
      </c>
      <c r="L54" s="16">
        <v>1.62</v>
      </c>
      <c r="M54" s="16">
        <v>1.62</v>
      </c>
      <c r="N54" s="16">
        <v>43.12</v>
      </c>
      <c r="O54" s="16">
        <v>43.28</v>
      </c>
      <c r="P54" s="30">
        <f t="shared" si="19"/>
        <v>0.37105751391466535</v>
      </c>
      <c r="Q54" s="16">
        <v>114</v>
      </c>
      <c r="R54" s="16">
        <v>114</v>
      </c>
      <c r="S54" s="30">
        <f t="shared" si="20"/>
        <v>0</v>
      </c>
      <c r="T54" s="16">
        <v>123</v>
      </c>
      <c r="U54" s="16">
        <v>123</v>
      </c>
      <c r="V54" s="30">
        <f t="shared" si="21"/>
        <v>0</v>
      </c>
      <c r="W54" s="16">
        <v>115</v>
      </c>
      <c r="X54" s="16">
        <v>115</v>
      </c>
      <c r="Y54" s="30">
        <f t="shared" si="22"/>
        <v>0</v>
      </c>
      <c r="Z54" s="16">
        <v>150</v>
      </c>
      <c r="AA54" s="16">
        <v>130</v>
      </c>
      <c r="AB54" s="30">
        <f t="shared" si="23"/>
        <v>-13.333333333333334</v>
      </c>
      <c r="AC54" s="16">
        <v>90</v>
      </c>
      <c r="AD54" s="16">
        <v>50</v>
      </c>
      <c r="AE54" s="30">
        <f t="shared" si="24"/>
        <v>-44.444444444444443</v>
      </c>
      <c r="AF54" s="16">
        <v>51.7</v>
      </c>
      <c r="AG54" s="16">
        <v>51.7</v>
      </c>
      <c r="AH54" s="30">
        <f t="shared" si="25"/>
        <v>0</v>
      </c>
      <c r="AI54" s="16">
        <v>441</v>
      </c>
      <c r="AJ54" s="16"/>
      <c r="AK54" s="30"/>
      <c r="AL54" s="16">
        <v>50</v>
      </c>
      <c r="AM54" s="16"/>
      <c r="AN54" s="17">
        <v>338</v>
      </c>
      <c r="AO54" s="18">
        <v>196</v>
      </c>
      <c r="AP54" s="30">
        <f t="shared" si="27"/>
        <v>-42.011834319526628</v>
      </c>
      <c r="AQ54" s="17">
        <v>22</v>
      </c>
      <c r="AR54" s="18">
        <v>27</v>
      </c>
      <c r="AS54" s="30">
        <f t="shared" si="28"/>
        <v>22.727272727272727</v>
      </c>
      <c r="AT54" s="17">
        <v>0.83</v>
      </c>
      <c r="AU54" s="22">
        <v>0.96</v>
      </c>
      <c r="AV54" s="30">
        <f t="shared" si="29"/>
        <v>15.66265060240964</v>
      </c>
      <c r="AW54" s="17">
        <v>0.52</v>
      </c>
      <c r="AX54" s="22">
        <v>0.44</v>
      </c>
      <c r="AY54" s="30">
        <f t="shared" si="30"/>
        <v>-15.384615384615389</v>
      </c>
      <c r="AZ54" s="17">
        <v>0.14000000000000001</v>
      </c>
      <c r="BA54" s="22">
        <v>0.14000000000000001</v>
      </c>
      <c r="BB54" s="30">
        <f t="shared" si="31"/>
        <v>0</v>
      </c>
      <c r="BC54" s="17">
        <f t="shared" si="72"/>
        <v>0.38</v>
      </c>
      <c r="BD54" s="17">
        <f t="shared" si="32"/>
        <v>0.3</v>
      </c>
      <c r="BE54" s="30">
        <f t="shared" si="33"/>
        <v>-21.052631578947373</v>
      </c>
      <c r="BF54" s="17">
        <v>41</v>
      </c>
      <c r="BG54" s="18">
        <v>42</v>
      </c>
      <c r="BH54" s="17">
        <v>13</v>
      </c>
      <c r="BI54" s="18">
        <v>9</v>
      </c>
      <c r="BJ54" s="17">
        <v>34</v>
      </c>
      <c r="BK54" s="18">
        <v>27</v>
      </c>
      <c r="BL54" s="17">
        <v>3.8</v>
      </c>
      <c r="BM54" s="23">
        <v>5.5</v>
      </c>
      <c r="BN54" s="30">
        <f t="shared" si="34"/>
        <v>44.736842105263165</v>
      </c>
      <c r="BO54" s="17">
        <v>6.98</v>
      </c>
      <c r="BP54" s="22">
        <v>6.5</v>
      </c>
      <c r="BQ54" s="30">
        <f t="shared" si="35"/>
        <v>-6.8767908309455645</v>
      </c>
      <c r="BR54" s="17">
        <v>3.64</v>
      </c>
      <c r="BS54" s="22">
        <v>3.54</v>
      </c>
      <c r="BT54" s="30">
        <f t="shared" si="36"/>
        <v>-2.7472527472527495</v>
      </c>
      <c r="BU54" s="17">
        <f t="shared" si="73"/>
        <v>3.3400000000000003</v>
      </c>
      <c r="BV54" s="17">
        <f t="shared" si="55"/>
        <v>2.96</v>
      </c>
      <c r="BW54" s="30">
        <f t="shared" si="37"/>
        <v>-11.377245508982044</v>
      </c>
      <c r="BX54" s="17">
        <v>178</v>
      </c>
      <c r="BY54" s="18">
        <v>173</v>
      </c>
      <c r="BZ54" s="30">
        <f t="shared" si="38"/>
        <v>-2.8089887640449436</v>
      </c>
      <c r="CA54" s="17">
        <v>34</v>
      </c>
      <c r="CB54" s="18">
        <v>32</v>
      </c>
      <c r="CC54" s="30">
        <f t="shared" si="39"/>
        <v>-5.8823529411764701</v>
      </c>
      <c r="CD54" s="17">
        <f t="shared" si="77"/>
        <v>116</v>
      </c>
      <c r="CE54" s="17">
        <f t="shared" si="78"/>
        <v>108.6</v>
      </c>
      <c r="CF54" s="30">
        <f t="shared" si="40"/>
        <v>-6.3793103448275907</v>
      </c>
      <c r="CG54" s="17">
        <v>140</v>
      </c>
      <c r="CH54" s="18">
        <v>162</v>
      </c>
      <c r="CI54" s="30">
        <f t="shared" si="41"/>
        <v>15.714285714285714</v>
      </c>
      <c r="CJ54" s="17">
        <v>14.6</v>
      </c>
      <c r="CK54" s="23">
        <v>7.8</v>
      </c>
      <c r="CL54" s="30">
        <f t="shared" si="42"/>
        <v>-46.575342465753423</v>
      </c>
      <c r="CM54" s="17">
        <v>23.3</v>
      </c>
      <c r="CN54" s="18">
        <v>13</v>
      </c>
      <c r="CO54" s="30">
        <f t="shared" si="43"/>
        <v>-44.206008583690988</v>
      </c>
      <c r="CP54" s="17">
        <v>16.8</v>
      </c>
      <c r="CQ54" s="18">
        <v>30.3</v>
      </c>
      <c r="CR54" s="17">
        <v>47.3</v>
      </c>
      <c r="CS54" s="18">
        <v>58.4</v>
      </c>
      <c r="CT54" s="17">
        <f t="shared" si="63"/>
        <v>19.590547263681593</v>
      </c>
      <c r="CU54" s="17">
        <f t="shared" si="64"/>
        <v>6.3383084577114426</v>
      </c>
      <c r="CV54" s="30">
        <f t="shared" si="44"/>
        <v>-67.646087817761639</v>
      </c>
      <c r="CW54" s="19">
        <f t="shared" si="65"/>
        <v>1.2714285714285714</v>
      </c>
      <c r="CX54" s="20">
        <f t="shared" si="66"/>
        <v>1.0679012345679013</v>
      </c>
      <c r="CY54" s="19">
        <f t="shared" si="79"/>
        <v>0.82857142857142863</v>
      </c>
      <c r="CZ54" s="20">
        <f t="shared" si="80"/>
        <v>0.67037037037037028</v>
      </c>
      <c r="DA54" s="19">
        <f t="shared" si="74"/>
        <v>5.2352941176470589</v>
      </c>
      <c r="DB54" s="20">
        <f t="shared" si="69"/>
        <v>5.40625</v>
      </c>
      <c r="DC54" s="19">
        <f t="shared" si="75"/>
        <v>3.4117647058823528</v>
      </c>
      <c r="DD54" s="20">
        <f t="shared" si="70"/>
        <v>3.3937499999999998</v>
      </c>
      <c r="DE54" s="19">
        <f t="shared" si="76"/>
        <v>144</v>
      </c>
      <c r="DF54" s="20">
        <f t="shared" si="71"/>
        <v>141</v>
      </c>
      <c r="DG54" s="19" t="s">
        <v>289</v>
      </c>
      <c r="DH54" s="16">
        <v>22.2</v>
      </c>
      <c r="DI54" s="19" t="s">
        <v>290</v>
      </c>
      <c r="DJ54" s="16">
        <v>233.28</v>
      </c>
      <c r="DK54" s="19" t="s">
        <v>291</v>
      </c>
      <c r="DL54" s="16">
        <v>55.14</v>
      </c>
      <c r="DM54" s="30">
        <f t="shared" si="45"/>
        <v>-17.343726577724468</v>
      </c>
      <c r="DN54" s="19">
        <v>989.61</v>
      </c>
      <c r="DO54" s="16">
        <v>1069.92</v>
      </c>
      <c r="DP54" s="30">
        <f t="shared" si="46"/>
        <v>8.115318155637075</v>
      </c>
      <c r="DQ54" s="19" t="s">
        <v>292</v>
      </c>
      <c r="DR54" s="16">
        <v>5.35</v>
      </c>
      <c r="DS54" s="30">
        <f t="shared" si="47"/>
        <v>-68.097793679189039</v>
      </c>
      <c r="DT54" s="21">
        <v>179.92</v>
      </c>
      <c r="DU54" s="16">
        <v>479.31</v>
      </c>
      <c r="DV54" s="30">
        <f t="shared" si="48"/>
        <v>166.40173410404623</v>
      </c>
      <c r="DW54" s="19">
        <v>0.437</v>
      </c>
      <c r="DX54" s="16">
        <v>0.44900000000000001</v>
      </c>
      <c r="DY54" s="30">
        <f t="shared" si="49"/>
        <v>2.7459954233409638</v>
      </c>
      <c r="DZ54" s="19">
        <v>488086.86</v>
      </c>
      <c r="EA54" s="16">
        <v>2318991.33</v>
      </c>
      <c r="EB54" s="30">
        <f t="shared" si="50"/>
        <v>375.11857418165289</v>
      </c>
      <c r="EC54" s="19">
        <v>1.4</v>
      </c>
      <c r="ED54" s="16">
        <v>2.77</v>
      </c>
      <c r="EE54" s="30">
        <f t="shared" si="51"/>
        <v>97.857142857142875</v>
      </c>
      <c r="EF54" s="19">
        <f t="shared" si="67"/>
        <v>260.42368421052635</v>
      </c>
      <c r="EG54" s="20">
        <f t="shared" si="68"/>
        <v>194.53090909090909</v>
      </c>
      <c r="EH54" s="16">
        <v>56.19</v>
      </c>
      <c r="EI54" s="16">
        <v>65.069999999999993</v>
      </c>
      <c r="EJ54" s="30">
        <f t="shared" si="52"/>
        <v>15.803523758675913</v>
      </c>
      <c r="EK54" s="16">
        <v>80.989999999999995</v>
      </c>
      <c r="EL54" s="16">
        <v>49.98</v>
      </c>
      <c r="EM54" s="30">
        <f t="shared" si="53"/>
        <v>-38.28867761452031</v>
      </c>
    </row>
    <row r="55" spans="1:143">
      <c r="A55" s="16">
        <v>37</v>
      </c>
      <c r="B55" s="16">
        <v>2</v>
      </c>
      <c r="C55" s="16">
        <v>1</v>
      </c>
      <c r="D55" s="16">
        <v>52</v>
      </c>
      <c r="E55" s="16">
        <v>1</v>
      </c>
      <c r="F55" s="16" t="s">
        <v>293</v>
      </c>
      <c r="G55" s="16">
        <v>1</v>
      </c>
      <c r="H55" s="16">
        <v>2</v>
      </c>
      <c r="I55" s="16">
        <v>113.4</v>
      </c>
      <c r="J55" s="16">
        <v>111.6</v>
      </c>
      <c r="K55" s="30">
        <f t="shared" si="18"/>
        <v>-1.5873015873015972</v>
      </c>
      <c r="L55" s="16">
        <v>1.59</v>
      </c>
      <c r="M55" s="16">
        <v>1.59</v>
      </c>
      <c r="N55" s="16">
        <v>44.86</v>
      </c>
      <c r="O55" s="16">
        <v>44.11</v>
      </c>
      <c r="P55" s="30">
        <f t="shared" si="19"/>
        <v>-1.6718680338831922</v>
      </c>
      <c r="Q55" s="16">
        <v>120</v>
      </c>
      <c r="R55" s="16">
        <v>124</v>
      </c>
      <c r="S55" s="30">
        <f t="shared" si="20"/>
        <v>3.3333333333333335</v>
      </c>
      <c r="T55" s="16">
        <v>131</v>
      </c>
      <c r="U55" s="16">
        <v>138</v>
      </c>
      <c r="V55" s="30">
        <f t="shared" si="21"/>
        <v>5.343511450381679</v>
      </c>
      <c r="W55" s="16">
        <v>137</v>
      </c>
      <c r="X55" s="16">
        <v>135</v>
      </c>
      <c r="Y55" s="30">
        <f t="shared" si="22"/>
        <v>-1.4598540145985401</v>
      </c>
      <c r="Z55" s="16">
        <v>120</v>
      </c>
      <c r="AA55" s="16">
        <v>122</v>
      </c>
      <c r="AB55" s="30">
        <f t="shared" si="23"/>
        <v>1.6666666666666667</v>
      </c>
      <c r="AC55" s="16">
        <v>95</v>
      </c>
      <c r="AD55" s="16">
        <v>49</v>
      </c>
      <c r="AE55" s="30">
        <f t="shared" si="24"/>
        <v>-48.421052631578945</v>
      </c>
      <c r="AF55" s="16">
        <v>52.1</v>
      </c>
      <c r="AG55" s="16">
        <v>52.1</v>
      </c>
      <c r="AH55" s="30">
        <f t="shared" si="25"/>
        <v>0</v>
      </c>
      <c r="AI55" s="16">
        <v>422</v>
      </c>
      <c r="AJ55" s="16"/>
      <c r="AK55" s="30"/>
      <c r="AL55" s="16">
        <v>50</v>
      </c>
      <c r="AM55" s="16"/>
      <c r="AN55" s="17">
        <v>154</v>
      </c>
      <c r="AO55" s="18">
        <v>151</v>
      </c>
      <c r="AP55" s="30">
        <f t="shared" si="27"/>
        <v>-1.948051948051948</v>
      </c>
      <c r="AQ55" s="17">
        <v>26</v>
      </c>
      <c r="AR55" s="18">
        <v>20</v>
      </c>
      <c r="AS55" s="30">
        <f t="shared" si="28"/>
        <v>-23.076923076923077</v>
      </c>
      <c r="AT55" s="17">
        <v>1.1499999999999999</v>
      </c>
      <c r="AU55" s="22">
        <v>1.04</v>
      </c>
      <c r="AV55" s="30">
        <f t="shared" si="29"/>
        <v>-9.5652173913043388</v>
      </c>
      <c r="AW55" s="17">
        <v>0.32</v>
      </c>
      <c r="AX55" s="22">
        <v>0.46</v>
      </c>
      <c r="AY55" s="30">
        <f t="shared" si="30"/>
        <v>43.750000000000007</v>
      </c>
      <c r="AZ55" s="17">
        <v>0.09</v>
      </c>
      <c r="BA55" s="22">
        <v>0.16</v>
      </c>
      <c r="BB55" s="30">
        <f t="shared" si="31"/>
        <v>77.777777777777786</v>
      </c>
      <c r="BC55" s="17">
        <f t="shared" si="72"/>
        <v>0.23</v>
      </c>
      <c r="BD55" s="17">
        <f t="shared" si="32"/>
        <v>0.30000000000000004</v>
      </c>
      <c r="BE55" s="30">
        <f t="shared" si="33"/>
        <v>30.434782608695667</v>
      </c>
      <c r="BF55" s="17">
        <v>98</v>
      </c>
      <c r="BG55" s="18">
        <v>81</v>
      </c>
      <c r="BH55" s="17">
        <v>32</v>
      </c>
      <c r="BI55" s="18">
        <v>26</v>
      </c>
      <c r="BJ55" s="17">
        <v>64</v>
      </c>
      <c r="BK55" s="18">
        <v>48</v>
      </c>
      <c r="BL55" s="17">
        <v>8.1</v>
      </c>
      <c r="BM55" s="23">
        <v>8.3000000000000007</v>
      </c>
      <c r="BN55" s="30">
        <f t="shared" si="34"/>
        <v>2.469135802469149</v>
      </c>
      <c r="BO55" s="17">
        <v>7.4</v>
      </c>
      <c r="BP55" s="22">
        <v>7.11</v>
      </c>
      <c r="BQ55" s="30">
        <f t="shared" si="35"/>
        <v>-3.9189189189189193</v>
      </c>
      <c r="BR55" s="17">
        <v>3.65</v>
      </c>
      <c r="BS55" s="22">
        <v>3.67</v>
      </c>
      <c r="BT55" s="30">
        <f t="shared" si="36"/>
        <v>0.54794520547945258</v>
      </c>
      <c r="BU55" s="17">
        <f t="shared" si="73"/>
        <v>3.7500000000000004</v>
      </c>
      <c r="BV55" s="17">
        <f t="shared" si="55"/>
        <v>3.4400000000000004</v>
      </c>
      <c r="BW55" s="30">
        <f t="shared" si="37"/>
        <v>-8.2666666666666657</v>
      </c>
      <c r="BX55" s="17">
        <v>134</v>
      </c>
      <c r="BY55" s="18">
        <v>159</v>
      </c>
      <c r="BZ55" s="30">
        <f t="shared" si="38"/>
        <v>18.656716417910449</v>
      </c>
      <c r="CA55" s="17">
        <v>32</v>
      </c>
      <c r="CB55" s="18">
        <v>34</v>
      </c>
      <c r="CC55" s="30">
        <f t="shared" si="39"/>
        <v>6.25</v>
      </c>
      <c r="CD55" s="17">
        <f t="shared" si="77"/>
        <v>79.400000000000006</v>
      </c>
      <c r="CE55" s="17">
        <f t="shared" si="78"/>
        <v>103.6</v>
      </c>
      <c r="CF55" s="30">
        <f t="shared" si="40"/>
        <v>30.478589420654895</v>
      </c>
      <c r="CG55" s="17">
        <v>113</v>
      </c>
      <c r="CH55" s="18">
        <v>107</v>
      </c>
      <c r="CI55" s="30">
        <f t="shared" si="41"/>
        <v>-5.3097345132743365</v>
      </c>
      <c r="CJ55" s="17">
        <v>12.7</v>
      </c>
      <c r="CK55" s="23">
        <v>16.3</v>
      </c>
      <c r="CL55" s="30">
        <f t="shared" si="42"/>
        <v>28.346456692913396</v>
      </c>
      <c r="CM55" s="17">
        <v>15.8</v>
      </c>
      <c r="CN55" s="18">
        <v>9.1999999999999993</v>
      </c>
      <c r="CO55" s="30">
        <f t="shared" si="43"/>
        <v>-41.772151898734187</v>
      </c>
      <c r="CP55" s="17">
        <v>15</v>
      </c>
      <c r="CQ55" s="18">
        <v>56.1</v>
      </c>
      <c r="CR55" s="17">
        <v>57.3</v>
      </c>
      <c r="CS55" s="18">
        <v>65.599999999999994</v>
      </c>
      <c r="CT55" s="17">
        <f t="shared" si="63"/>
        <v>6.0527363184079608</v>
      </c>
      <c r="CU55" s="17">
        <f t="shared" si="64"/>
        <v>3.4557213930348256</v>
      </c>
      <c r="CV55" s="30">
        <f t="shared" si="44"/>
        <v>-42.906460627979627</v>
      </c>
      <c r="CW55" s="19">
        <f t="shared" si="65"/>
        <v>1.1858407079646018</v>
      </c>
      <c r="CX55" s="20">
        <f t="shared" si="66"/>
        <v>1.485981308411215</v>
      </c>
      <c r="CY55" s="19">
        <f t="shared" si="79"/>
        <v>0.70265486725663717</v>
      </c>
      <c r="CZ55" s="20">
        <f t="shared" si="80"/>
        <v>0.96822429906542051</v>
      </c>
      <c r="DA55" s="19">
        <f t="shared" si="74"/>
        <v>4.1875</v>
      </c>
      <c r="DB55" s="20">
        <f t="shared" si="69"/>
        <v>4.6764705882352944</v>
      </c>
      <c r="DC55" s="19">
        <f t="shared" si="75"/>
        <v>2.4812500000000002</v>
      </c>
      <c r="DD55" s="20">
        <f t="shared" si="70"/>
        <v>3.0470588235294116</v>
      </c>
      <c r="DE55" s="19">
        <f t="shared" si="76"/>
        <v>102</v>
      </c>
      <c r="DF55" s="20">
        <f t="shared" si="71"/>
        <v>125</v>
      </c>
      <c r="DG55" s="19"/>
      <c r="DH55" s="16">
        <v>31.6</v>
      </c>
      <c r="DI55" s="19"/>
      <c r="DJ55" s="16">
        <v>299.37</v>
      </c>
      <c r="DK55" s="19"/>
      <c r="DL55" s="16"/>
      <c r="DM55" s="30" t="e">
        <f t="shared" si="45"/>
        <v>#DIV/0!</v>
      </c>
      <c r="DN55" s="19">
        <v>983.75</v>
      </c>
      <c r="DO55" s="19">
        <v>983.75</v>
      </c>
      <c r="DP55" s="30"/>
      <c r="DQ55" s="19"/>
      <c r="DR55" s="16">
        <v>15.4</v>
      </c>
      <c r="DS55" s="30" t="e">
        <f t="shared" si="47"/>
        <v>#DIV/0!</v>
      </c>
      <c r="DT55" s="21"/>
      <c r="DU55" s="16">
        <v>608.72</v>
      </c>
      <c r="DV55" s="30" t="e">
        <f t="shared" si="48"/>
        <v>#DIV/0!</v>
      </c>
      <c r="DW55" s="19"/>
      <c r="DX55" s="16">
        <v>0.52900000000000003</v>
      </c>
      <c r="DY55" s="30" t="e">
        <f t="shared" si="49"/>
        <v>#DIV/0!</v>
      </c>
      <c r="DZ55" s="19"/>
      <c r="EA55" s="16">
        <v>3137536.52</v>
      </c>
      <c r="EB55" s="30" t="e">
        <f t="shared" si="50"/>
        <v>#DIV/0!</v>
      </c>
      <c r="EC55" s="19">
        <v>6.7</v>
      </c>
      <c r="ED55" s="16">
        <v>6.17</v>
      </c>
      <c r="EE55" s="30">
        <f t="shared" si="51"/>
        <v>-7.9104477611940336</v>
      </c>
      <c r="EF55" s="19">
        <f t="shared" ref="EF55:EF80" si="81">DN55/BL55</f>
        <v>121.45061728395062</v>
      </c>
      <c r="EG55" s="20"/>
      <c r="EH55" s="16">
        <v>39.159999999999997</v>
      </c>
      <c r="EI55" s="16">
        <v>39.159999999999997</v>
      </c>
      <c r="EJ55" s="30">
        <f t="shared" si="52"/>
        <v>0</v>
      </c>
      <c r="EK55" s="16">
        <v>43</v>
      </c>
      <c r="EL55" s="16">
        <v>43</v>
      </c>
      <c r="EM55" s="30">
        <f t="shared" si="53"/>
        <v>0</v>
      </c>
    </row>
    <row r="56" spans="1:143">
      <c r="A56" s="16">
        <v>38</v>
      </c>
      <c r="B56" s="16">
        <v>2</v>
      </c>
      <c r="C56" s="16">
        <v>1</v>
      </c>
      <c r="D56" s="16">
        <v>29</v>
      </c>
      <c r="E56" s="16">
        <v>2</v>
      </c>
      <c r="F56" s="16"/>
      <c r="G56" s="16">
        <v>1</v>
      </c>
      <c r="H56" s="16">
        <v>1</v>
      </c>
      <c r="I56" s="16">
        <v>122</v>
      </c>
      <c r="J56" s="16">
        <v>117.9</v>
      </c>
      <c r="K56" s="30">
        <f t="shared" si="18"/>
        <v>-3.3606557377049135</v>
      </c>
      <c r="L56" s="16">
        <v>1.73</v>
      </c>
      <c r="M56" s="16">
        <v>1.73</v>
      </c>
      <c r="N56" s="16">
        <v>40.799999999999997</v>
      </c>
      <c r="O56" s="16">
        <v>39.4</v>
      </c>
      <c r="P56" s="30">
        <f t="shared" si="19"/>
        <v>-3.4313725490196045</v>
      </c>
      <c r="Q56" s="16">
        <v>110</v>
      </c>
      <c r="R56" s="16">
        <v>106</v>
      </c>
      <c r="S56" s="30">
        <f t="shared" si="20"/>
        <v>-3.6363636363636362</v>
      </c>
      <c r="T56" s="16">
        <v>115</v>
      </c>
      <c r="U56" s="16">
        <v>116</v>
      </c>
      <c r="V56" s="30">
        <f t="shared" si="21"/>
        <v>0.86956521739130432</v>
      </c>
      <c r="W56" s="16">
        <v>125</v>
      </c>
      <c r="X56" s="16">
        <v>123</v>
      </c>
      <c r="Y56" s="30">
        <f t="shared" si="22"/>
        <v>-1.6</v>
      </c>
      <c r="Z56" s="16">
        <v>145</v>
      </c>
      <c r="AA56" s="16">
        <v>135</v>
      </c>
      <c r="AB56" s="30">
        <f t="shared" si="23"/>
        <v>-6.8965517241379306</v>
      </c>
      <c r="AC56" s="16">
        <v>105</v>
      </c>
      <c r="AD56" s="16">
        <v>90</v>
      </c>
      <c r="AE56" s="30">
        <f t="shared" si="24"/>
        <v>-14.285714285714285</v>
      </c>
      <c r="AF56" s="16">
        <v>29.4</v>
      </c>
      <c r="AG56" s="16">
        <v>35.4</v>
      </c>
      <c r="AH56" s="30">
        <f t="shared" si="25"/>
        <v>20.408163265306122</v>
      </c>
      <c r="AI56" s="16">
        <v>339</v>
      </c>
      <c r="AJ56" s="16">
        <v>344</v>
      </c>
      <c r="AK56" s="30">
        <f t="shared" si="26"/>
        <v>1.4749262536873156</v>
      </c>
      <c r="AL56" s="16">
        <v>46</v>
      </c>
      <c r="AM56" s="16">
        <v>45</v>
      </c>
      <c r="AN56" s="17">
        <v>124</v>
      </c>
      <c r="AO56" s="18">
        <v>121</v>
      </c>
      <c r="AP56" s="30">
        <f t="shared" si="27"/>
        <v>-2.4193548387096775</v>
      </c>
      <c r="AQ56" s="17">
        <v>42</v>
      </c>
      <c r="AR56" s="18">
        <v>31</v>
      </c>
      <c r="AS56" s="30">
        <f t="shared" si="28"/>
        <v>-26.190476190476193</v>
      </c>
      <c r="AT56" s="17">
        <v>1.31</v>
      </c>
      <c r="AU56" s="22">
        <v>1.53</v>
      </c>
      <c r="AV56" s="30">
        <f t="shared" si="29"/>
        <v>16.793893129770989</v>
      </c>
      <c r="AW56" s="17">
        <v>0.48</v>
      </c>
      <c r="AX56" s="22">
        <v>0.8</v>
      </c>
      <c r="AY56" s="30">
        <f t="shared" si="30"/>
        <v>66.666666666666686</v>
      </c>
      <c r="AZ56" s="17">
        <v>7.0000000000000007E-2</v>
      </c>
      <c r="BA56" s="22">
        <v>0.18</v>
      </c>
      <c r="BB56" s="30">
        <f t="shared" si="31"/>
        <v>157.14285714285711</v>
      </c>
      <c r="BC56" s="17">
        <f t="shared" si="72"/>
        <v>0.41</v>
      </c>
      <c r="BD56" s="17">
        <f t="shared" si="32"/>
        <v>0.62000000000000011</v>
      </c>
      <c r="BE56" s="30">
        <f t="shared" si="33"/>
        <v>51.219512195121986</v>
      </c>
      <c r="BF56" s="17">
        <v>91</v>
      </c>
      <c r="BG56" s="18">
        <v>76</v>
      </c>
      <c r="BH56" s="17">
        <v>17</v>
      </c>
      <c r="BI56" s="18">
        <v>20</v>
      </c>
      <c r="BJ56" s="17">
        <v>53</v>
      </c>
      <c r="BK56" s="18">
        <v>43</v>
      </c>
      <c r="BL56" s="17">
        <v>7.7</v>
      </c>
      <c r="BM56" s="23">
        <v>8.4</v>
      </c>
      <c r="BN56" s="30">
        <f t="shared" si="34"/>
        <v>9.0909090909090917</v>
      </c>
      <c r="BO56" s="17">
        <v>7.73</v>
      </c>
      <c r="BP56" s="22">
        <v>7.54</v>
      </c>
      <c r="BQ56" s="30">
        <f t="shared" si="35"/>
        <v>-2.4579560155239379</v>
      </c>
      <c r="BR56" s="17">
        <v>4.13</v>
      </c>
      <c r="BS56" s="22">
        <v>4.2699999999999996</v>
      </c>
      <c r="BT56" s="30">
        <f t="shared" si="36"/>
        <v>3.3898305084745686</v>
      </c>
      <c r="BU56" s="17">
        <f t="shared" si="73"/>
        <v>3.6000000000000005</v>
      </c>
      <c r="BV56" s="17">
        <f t="shared" si="55"/>
        <v>3.2700000000000005</v>
      </c>
      <c r="BW56" s="30">
        <f t="shared" si="37"/>
        <v>-9.1666666666666679</v>
      </c>
      <c r="BX56" s="17">
        <v>247</v>
      </c>
      <c r="BY56" s="18">
        <v>223</v>
      </c>
      <c r="BZ56" s="30">
        <f t="shared" si="38"/>
        <v>-9.7165991902834001</v>
      </c>
      <c r="CA56" s="17">
        <v>32</v>
      </c>
      <c r="CB56" s="18">
        <v>40</v>
      </c>
      <c r="CC56" s="30">
        <f t="shared" si="39"/>
        <v>25</v>
      </c>
      <c r="CD56" s="17"/>
      <c r="CE56" s="17">
        <f>BY56-(CB56+CH56/5)</f>
        <v>154.6</v>
      </c>
      <c r="CF56" s="30"/>
      <c r="CG56" s="17">
        <v>515</v>
      </c>
      <c r="CH56" s="18">
        <v>142</v>
      </c>
      <c r="CI56" s="30">
        <f t="shared" si="41"/>
        <v>-72.427184466019412</v>
      </c>
      <c r="CJ56" s="17">
        <v>6.4</v>
      </c>
      <c r="CK56" s="23">
        <v>9.5</v>
      </c>
      <c r="CL56" s="30">
        <f t="shared" si="42"/>
        <v>48.437499999999993</v>
      </c>
      <c r="CM56" s="17">
        <v>25.6</v>
      </c>
      <c r="CN56" s="18">
        <v>15.4</v>
      </c>
      <c r="CO56" s="30">
        <f t="shared" si="43"/>
        <v>-39.84375</v>
      </c>
      <c r="CP56" s="17">
        <v>23.5</v>
      </c>
      <c r="CQ56" s="18">
        <v>39.700000000000003</v>
      </c>
      <c r="CR56" s="17">
        <v>83.4</v>
      </c>
      <c r="CS56" s="18">
        <v>63.3</v>
      </c>
      <c r="CT56" s="17">
        <f t="shared" si="63"/>
        <v>7.8965174129353235</v>
      </c>
      <c r="CU56" s="17">
        <f t="shared" si="64"/>
        <v>4.635323383084577</v>
      </c>
      <c r="CV56" s="30">
        <f t="shared" si="44"/>
        <v>-41.299143145161295</v>
      </c>
      <c r="CW56" s="19">
        <f t="shared" si="65"/>
        <v>0.47961165048543691</v>
      </c>
      <c r="CX56" s="20">
        <f t="shared" si="66"/>
        <v>1.5704225352112675</v>
      </c>
      <c r="CY56" s="19"/>
      <c r="CZ56" s="20">
        <f>CE56/CH56</f>
        <v>1.0887323943661971</v>
      </c>
      <c r="DA56" s="19">
        <f t="shared" si="74"/>
        <v>7.71875</v>
      </c>
      <c r="DB56" s="20">
        <f t="shared" si="69"/>
        <v>5.5750000000000002</v>
      </c>
      <c r="DC56" s="19"/>
      <c r="DD56" s="20">
        <f t="shared" si="70"/>
        <v>3.8649999999999998</v>
      </c>
      <c r="DE56" s="19">
        <f t="shared" si="76"/>
        <v>215</v>
      </c>
      <c r="DF56" s="20">
        <f t="shared" si="71"/>
        <v>183</v>
      </c>
      <c r="DG56" s="19" t="s">
        <v>294</v>
      </c>
      <c r="DH56" s="16">
        <v>32.6</v>
      </c>
      <c r="DI56" s="19" t="s">
        <v>295</v>
      </c>
      <c r="DJ56" s="16">
        <v>380.53</v>
      </c>
      <c r="DK56" s="19"/>
      <c r="DL56" s="16">
        <v>78.75</v>
      </c>
      <c r="DM56" s="30" t="e">
        <f t="shared" si="45"/>
        <v>#DIV/0!</v>
      </c>
      <c r="DN56" s="19">
        <v>1083.53</v>
      </c>
      <c r="DO56" s="16">
        <v>1263.3499999999999</v>
      </c>
      <c r="DP56" s="30">
        <f t="shared" si="46"/>
        <v>16.595756462672924</v>
      </c>
      <c r="DQ56" s="19" t="s">
        <v>296</v>
      </c>
      <c r="DR56" s="16">
        <v>7.06</v>
      </c>
      <c r="DS56" s="30">
        <f t="shared" si="47"/>
        <v>-27.73797338792221</v>
      </c>
      <c r="DT56" s="21">
        <v>187.99</v>
      </c>
      <c r="DU56" s="16">
        <v>590.38</v>
      </c>
      <c r="DV56" s="30">
        <f t="shared" si="48"/>
        <v>214.04861960742591</v>
      </c>
      <c r="DW56" s="19">
        <v>0.49</v>
      </c>
      <c r="DX56" s="16">
        <v>0.56799999999999995</v>
      </c>
      <c r="DY56" s="30">
        <f t="shared" si="49"/>
        <v>15.918367346938766</v>
      </c>
      <c r="DZ56" s="19">
        <v>714510.55</v>
      </c>
      <c r="EA56" s="16">
        <v>3224359.03</v>
      </c>
      <c r="EB56" s="30">
        <f t="shared" si="50"/>
        <v>351.26821850286177</v>
      </c>
      <c r="EC56" s="19">
        <v>0.48</v>
      </c>
      <c r="ED56" s="16">
        <v>4.13</v>
      </c>
      <c r="EE56" s="30">
        <f t="shared" si="51"/>
        <v>760.41666666666674</v>
      </c>
      <c r="EF56" s="19">
        <f t="shared" si="81"/>
        <v>140.71818181818182</v>
      </c>
      <c r="EG56" s="20">
        <f t="shared" ref="EG56:EG69" si="82">DO56/BM56</f>
        <v>150.39880952380952</v>
      </c>
      <c r="EH56" s="16">
        <v>40.07</v>
      </c>
      <c r="EI56" s="16">
        <v>45</v>
      </c>
      <c r="EJ56" s="30">
        <f t="shared" si="52"/>
        <v>12.303468929373595</v>
      </c>
      <c r="EK56" s="16">
        <v>46.29</v>
      </c>
      <c r="EL56" s="16">
        <v>69.209999999999994</v>
      </c>
      <c r="EM56" s="30">
        <f t="shared" si="53"/>
        <v>49.513933895009707</v>
      </c>
    </row>
    <row r="57" spans="1:143">
      <c r="A57" s="16">
        <v>39</v>
      </c>
      <c r="B57" s="16">
        <v>2</v>
      </c>
      <c r="C57" s="16">
        <v>1</v>
      </c>
      <c r="D57" s="16">
        <v>52</v>
      </c>
      <c r="E57" s="16">
        <v>1</v>
      </c>
      <c r="F57" s="16"/>
      <c r="G57" s="16">
        <v>2</v>
      </c>
      <c r="H57" s="16">
        <v>1</v>
      </c>
      <c r="I57" s="16">
        <v>110.7</v>
      </c>
      <c r="J57" s="16">
        <v>103.8</v>
      </c>
      <c r="K57" s="30">
        <f t="shared" si="18"/>
        <v>-6.2330623306233113</v>
      </c>
      <c r="L57" s="16">
        <v>1.63</v>
      </c>
      <c r="M57" s="16">
        <v>1.63</v>
      </c>
      <c r="N57" s="16">
        <v>41.5</v>
      </c>
      <c r="O57" s="16">
        <v>39.159999999999997</v>
      </c>
      <c r="P57" s="30">
        <f t="shared" si="19"/>
        <v>-5.6385542168674778</v>
      </c>
      <c r="Q57" s="16">
        <v>103</v>
      </c>
      <c r="R57" s="16">
        <v>99</v>
      </c>
      <c r="S57" s="30">
        <f t="shared" si="20"/>
        <v>-3.8834951456310676</v>
      </c>
      <c r="T57" s="16">
        <v>114</v>
      </c>
      <c r="U57" s="16">
        <v>110</v>
      </c>
      <c r="V57" s="30">
        <f t="shared" si="21"/>
        <v>-3.5087719298245612</v>
      </c>
      <c r="W57" s="16">
        <v>120</v>
      </c>
      <c r="X57" s="16">
        <v>120</v>
      </c>
      <c r="Y57" s="30">
        <f t="shared" si="22"/>
        <v>0</v>
      </c>
      <c r="Z57" s="16">
        <v>125</v>
      </c>
      <c r="AA57" s="16">
        <v>120</v>
      </c>
      <c r="AB57" s="30">
        <f t="shared" si="23"/>
        <v>-4</v>
      </c>
      <c r="AC57" s="16">
        <v>85</v>
      </c>
      <c r="AD57" s="16">
        <v>80</v>
      </c>
      <c r="AE57" s="30">
        <f t="shared" si="24"/>
        <v>-5.8823529411764701</v>
      </c>
      <c r="AF57" s="16">
        <v>46.6</v>
      </c>
      <c r="AG57" s="16">
        <v>40.700000000000003</v>
      </c>
      <c r="AH57" s="30">
        <f t="shared" si="25"/>
        <v>-12.660944206008582</v>
      </c>
      <c r="AI57" s="16">
        <v>379</v>
      </c>
      <c r="AJ57" s="16">
        <v>302</v>
      </c>
      <c r="AK57" s="30">
        <f t="shared" si="26"/>
        <v>-20.316622691292878</v>
      </c>
      <c r="AL57" s="16">
        <v>48</v>
      </c>
      <c r="AM57" s="16">
        <v>45</v>
      </c>
      <c r="AN57" s="17">
        <v>97</v>
      </c>
      <c r="AO57" s="18">
        <v>87</v>
      </c>
      <c r="AP57" s="30">
        <f t="shared" si="27"/>
        <v>-10.309278350515463</v>
      </c>
      <c r="AQ57" s="17">
        <v>33</v>
      </c>
      <c r="AR57" s="18">
        <v>24</v>
      </c>
      <c r="AS57" s="30">
        <f t="shared" si="28"/>
        <v>-27.27272727272727</v>
      </c>
      <c r="AT57" s="17">
        <v>0.52</v>
      </c>
      <c r="AU57" s="22">
        <v>0.68</v>
      </c>
      <c r="AV57" s="30">
        <f t="shared" si="29"/>
        <v>30.769230769230777</v>
      </c>
      <c r="AW57" s="17">
        <v>0.44</v>
      </c>
      <c r="AX57" s="22">
        <v>0.66</v>
      </c>
      <c r="AY57" s="30">
        <f t="shared" si="30"/>
        <v>50.000000000000014</v>
      </c>
      <c r="AZ57" s="17">
        <v>0.11</v>
      </c>
      <c r="BA57" s="22">
        <v>0.16</v>
      </c>
      <c r="BB57" s="30">
        <f t="shared" si="31"/>
        <v>45.45454545454546</v>
      </c>
      <c r="BC57" s="17">
        <f t="shared" si="72"/>
        <v>0.33</v>
      </c>
      <c r="BD57" s="17">
        <f t="shared" si="32"/>
        <v>0.5</v>
      </c>
      <c r="BE57" s="30">
        <f t="shared" si="33"/>
        <v>51.515151515151501</v>
      </c>
      <c r="BF57" s="17">
        <v>159</v>
      </c>
      <c r="BG57" s="18">
        <v>106</v>
      </c>
      <c r="BH57" s="17">
        <v>27</v>
      </c>
      <c r="BI57" s="18">
        <v>12</v>
      </c>
      <c r="BJ57" s="17">
        <v>62</v>
      </c>
      <c r="BK57" s="18">
        <v>26</v>
      </c>
      <c r="BL57" s="17">
        <v>4.8</v>
      </c>
      <c r="BM57" s="23">
        <v>4.2</v>
      </c>
      <c r="BN57" s="30">
        <f t="shared" si="34"/>
        <v>-12.499999999999993</v>
      </c>
      <c r="BO57" s="17">
        <v>7.62</v>
      </c>
      <c r="BP57" s="22">
        <v>7.49</v>
      </c>
      <c r="BQ57" s="30">
        <f t="shared" si="35"/>
        <v>-1.7060367454068228</v>
      </c>
      <c r="BR57" s="17">
        <v>3.77</v>
      </c>
      <c r="BS57" s="22">
        <v>3.9</v>
      </c>
      <c r="BT57" s="30">
        <f t="shared" si="36"/>
        <v>3.4482758620689626</v>
      </c>
      <c r="BU57" s="17">
        <f t="shared" si="73"/>
        <v>3.85</v>
      </c>
      <c r="BV57" s="17">
        <f t="shared" si="55"/>
        <v>3.5900000000000003</v>
      </c>
      <c r="BW57" s="30">
        <f t="shared" si="37"/>
        <v>-6.7532467532467475</v>
      </c>
      <c r="BX57" s="17">
        <v>172</v>
      </c>
      <c r="BY57" s="18">
        <v>172</v>
      </c>
      <c r="BZ57" s="30">
        <f t="shared" si="38"/>
        <v>0</v>
      </c>
      <c r="CA57" s="17">
        <v>49</v>
      </c>
      <c r="CB57" s="18">
        <v>50</v>
      </c>
      <c r="CC57" s="30">
        <f t="shared" si="39"/>
        <v>2.0408163265306123</v>
      </c>
      <c r="CD57" s="17">
        <f t="shared" ref="CD57:CD80" si="83">BX57-(CA57+CG57/5)</f>
        <v>87.2</v>
      </c>
      <c r="CE57" s="17">
        <f>BY57-(CB57+CH57/5)</f>
        <v>92.6</v>
      </c>
      <c r="CF57" s="30">
        <f t="shared" si="40"/>
        <v>6.1926605504587053</v>
      </c>
      <c r="CG57" s="17">
        <v>179</v>
      </c>
      <c r="CH57" s="18">
        <v>147</v>
      </c>
      <c r="CI57" s="30">
        <f t="shared" si="41"/>
        <v>-17.877094972067038</v>
      </c>
      <c r="CJ57" s="17">
        <v>12.1</v>
      </c>
      <c r="CK57" s="23">
        <v>8.6999999999999993</v>
      </c>
      <c r="CL57" s="30">
        <f t="shared" si="42"/>
        <v>-28.099173553719016</v>
      </c>
      <c r="CM57" s="17">
        <v>12.1</v>
      </c>
      <c r="CN57" s="18">
        <v>10</v>
      </c>
      <c r="CO57" s="30">
        <f t="shared" si="43"/>
        <v>-17.355371900826444</v>
      </c>
      <c r="CP57" s="17">
        <v>23.2</v>
      </c>
      <c r="CQ57" s="18">
        <v>17.3</v>
      </c>
      <c r="CR57" s="17">
        <v>68.3</v>
      </c>
      <c r="CS57" s="18">
        <v>42.7</v>
      </c>
      <c r="CT57" s="17">
        <f t="shared" si="63"/>
        <v>2.9196517412935323</v>
      </c>
      <c r="CU57" s="17">
        <f t="shared" si="64"/>
        <v>2.1641791044776117</v>
      </c>
      <c r="CV57" s="30">
        <f t="shared" si="44"/>
        <v>-25.875436653318573</v>
      </c>
      <c r="CW57" s="19">
        <f t="shared" si="65"/>
        <v>0.96089385474860334</v>
      </c>
      <c r="CX57" s="20">
        <f t="shared" si="66"/>
        <v>1.1700680272108843</v>
      </c>
      <c r="CY57" s="19">
        <f t="shared" ref="CY57:CY80" si="84">CD57/CG57</f>
        <v>0.48715083798882686</v>
      </c>
      <c r="CZ57" s="20">
        <f>CE57/CH57</f>
        <v>0.62993197278911561</v>
      </c>
      <c r="DA57" s="19">
        <f t="shared" si="74"/>
        <v>3.510204081632653</v>
      </c>
      <c r="DB57" s="20">
        <f t="shared" si="69"/>
        <v>3.44</v>
      </c>
      <c r="DC57" s="19">
        <f t="shared" si="75"/>
        <v>1.7795918367346939</v>
      </c>
      <c r="DD57" s="20">
        <f t="shared" si="70"/>
        <v>1.8519999999999999</v>
      </c>
      <c r="DE57" s="19">
        <f t="shared" si="76"/>
        <v>123</v>
      </c>
      <c r="DF57" s="20">
        <f t="shared" si="71"/>
        <v>122</v>
      </c>
      <c r="DG57" s="19" t="s">
        <v>297</v>
      </c>
      <c r="DH57" s="16">
        <v>20.7</v>
      </c>
      <c r="DI57" s="19" t="s">
        <v>298</v>
      </c>
      <c r="DJ57" s="16">
        <v>363.43</v>
      </c>
      <c r="DK57" s="19" t="s">
        <v>299</v>
      </c>
      <c r="DL57" s="16">
        <v>41.2</v>
      </c>
      <c r="DM57" s="30">
        <f t="shared" si="45"/>
        <v>-31.02293654779842</v>
      </c>
      <c r="DN57" s="19">
        <v>1001.83</v>
      </c>
      <c r="DO57" s="16">
        <v>948.36</v>
      </c>
      <c r="DP57" s="30">
        <f t="shared" si="46"/>
        <v>-5.3372328638591409</v>
      </c>
      <c r="DQ57" s="19" t="s">
        <v>300</v>
      </c>
      <c r="DR57" s="16">
        <v>4.24</v>
      </c>
      <c r="DS57" s="30">
        <f t="shared" si="47"/>
        <v>0.23640661938533772</v>
      </c>
      <c r="DT57" s="21">
        <v>197.71</v>
      </c>
      <c r="DU57" s="16">
        <v>527.51</v>
      </c>
      <c r="DV57" s="30">
        <f t="shared" si="48"/>
        <v>166.80997420464314</v>
      </c>
      <c r="DW57" s="19">
        <v>0.371</v>
      </c>
      <c r="DX57" s="16">
        <v>0.56499999999999995</v>
      </c>
      <c r="DY57" s="30">
        <f t="shared" si="49"/>
        <v>52.291105121293789</v>
      </c>
      <c r="DZ57" s="19">
        <v>458357.2</v>
      </c>
      <c r="EA57" s="16">
        <v>1883482.24</v>
      </c>
      <c r="EB57" s="30">
        <f t="shared" si="50"/>
        <v>310.92018190180062</v>
      </c>
      <c r="EC57" s="19">
        <v>8</v>
      </c>
      <c r="ED57" s="16">
        <v>3.62</v>
      </c>
      <c r="EE57" s="30">
        <f t="shared" si="51"/>
        <v>-54.75</v>
      </c>
      <c r="EF57" s="19">
        <f t="shared" si="81"/>
        <v>208.71458333333334</v>
      </c>
      <c r="EG57" s="20">
        <f t="shared" si="82"/>
        <v>225.79999999999998</v>
      </c>
      <c r="EH57" s="16">
        <v>37.729999999999997</v>
      </c>
      <c r="EI57" s="16">
        <v>40.61</v>
      </c>
      <c r="EJ57" s="30">
        <f t="shared" si="52"/>
        <v>7.6331831433872326</v>
      </c>
      <c r="EK57" s="16">
        <v>95.25</v>
      </c>
      <c r="EL57" s="16">
        <v>43.77</v>
      </c>
      <c r="EM57" s="30">
        <f t="shared" si="53"/>
        <v>-54.047244094488192</v>
      </c>
    </row>
    <row r="58" spans="1:143">
      <c r="A58" s="16">
        <v>44</v>
      </c>
      <c r="B58" s="16">
        <v>2</v>
      </c>
      <c r="C58" s="16">
        <v>1</v>
      </c>
      <c r="D58" s="16">
        <v>49</v>
      </c>
      <c r="E58" s="16">
        <v>1</v>
      </c>
      <c r="F58" s="16" t="s">
        <v>301</v>
      </c>
      <c r="G58" s="16">
        <v>2</v>
      </c>
      <c r="H58" s="16">
        <v>1</v>
      </c>
      <c r="I58" s="16">
        <v>94.7</v>
      </c>
      <c r="J58" s="16">
        <v>95.5</v>
      </c>
      <c r="K58" s="30">
        <f t="shared" si="18"/>
        <v>0.84477296726504447</v>
      </c>
      <c r="L58" s="16">
        <v>1.62</v>
      </c>
      <c r="M58" s="16">
        <v>1.62</v>
      </c>
      <c r="N58" s="16">
        <v>36.15</v>
      </c>
      <c r="O58" s="16">
        <v>36.450000000000003</v>
      </c>
      <c r="P58" s="30">
        <f t="shared" si="19"/>
        <v>0.82987551867221099</v>
      </c>
      <c r="Q58" s="16">
        <v>117</v>
      </c>
      <c r="R58" s="16">
        <v>117</v>
      </c>
      <c r="S58" s="30">
        <f t="shared" si="20"/>
        <v>0</v>
      </c>
      <c r="T58" s="16">
        <v>116</v>
      </c>
      <c r="U58" s="16">
        <v>116</v>
      </c>
      <c r="V58" s="30">
        <f t="shared" si="21"/>
        <v>0</v>
      </c>
      <c r="W58" s="16">
        <v>121</v>
      </c>
      <c r="X58" s="16">
        <v>122</v>
      </c>
      <c r="Y58" s="30">
        <f t="shared" si="22"/>
        <v>0.82644628099173556</v>
      </c>
      <c r="Z58" s="16">
        <v>120</v>
      </c>
      <c r="AA58" s="16">
        <v>115</v>
      </c>
      <c r="AB58" s="30">
        <f t="shared" si="23"/>
        <v>-4.1666666666666661</v>
      </c>
      <c r="AC58" s="16">
        <v>90</v>
      </c>
      <c r="AD58" s="16">
        <v>85</v>
      </c>
      <c r="AE58" s="30">
        <f t="shared" si="24"/>
        <v>-5.5555555555555554</v>
      </c>
      <c r="AF58" s="16">
        <v>46.1</v>
      </c>
      <c r="AG58" s="16">
        <v>46.1</v>
      </c>
      <c r="AH58" s="30">
        <f t="shared" si="25"/>
        <v>0</v>
      </c>
      <c r="AI58" s="16">
        <v>460</v>
      </c>
      <c r="AJ58" s="16">
        <v>450</v>
      </c>
      <c r="AK58" s="30">
        <f t="shared" si="26"/>
        <v>-2.1739130434782608</v>
      </c>
      <c r="AL58" s="16">
        <v>46</v>
      </c>
      <c r="AM58" s="16">
        <v>46</v>
      </c>
      <c r="AN58" s="17">
        <v>184</v>
      </c>
      <c r="AO58" s="18">
        <v>117</v>
      </c>
      <c r="AP58" s="30">
        <f t="shared" si="27"/>
        <v>-36.413043478260867</v>
      </c>
      <c r="AQ58" s="17">
        <v>19</v>
      </c>
      <c r="AR58" s="18">
        <v>30</v>
      </c>
      <c r="AS58" s="30">
        <f t="shared" si="28"/>
        <v>57.894736842105267</v>
      </c>
      <c r="AT58" s="17">
        <v>0.72</v>
      </c>
      <c r="AU58" s="22">
        <v>0.6</v>
      </c>
      <c r="AV58" s="30">
        <f t="shared" si="29"/>
        <v>-16.666666666666664</v>
      </c>
      <c r="AW58" s="17">
        <v>0.34</v>
      </c>
      <c r="AX58" s="22">
        <v>0.2</v>
      </c>
      <c r="AY58" s="30">
        <f t="shared" si="30"/>
        <v>-41.176470588235297</v>
      </c>
      <c r="AZ58" s="17">
        <v>0.06</v>
      </c>
      <c r="BA58" s="22">
        <v>0.08</v>
      </c>
      <c r="BB58" s="30">
        <f t="shared" si="31"/>
        <v>33.333333333333343</v>
      </c>
      <c r="BC58" s="17">
        <f t="shared" si="72"/>
        <v>0.28000000000000003</v>
      </c>
      <c r="BD58" s="17">
        <f t="shared" si="32"/>
        <v>0.12000000000000001</v>
      </c>
      <c r="BE58" s="30">
        <f t="shared" si="33"/>
        <v>-57.142857142857153</v>
      </c>
      <c r="BF58" s="17">
        <v>66</v>
      </c>
      <c r="BG58" s="18">
        <v>55</v>
      </c>
      <c r="BH58" s="17">
        <v>44</v>
      </c>
      <c r="BI58" s="18">
        <v>25</v>
      </c>
      <c r="BJ58" s="17">
        <v>62</v>
      </c>
      <c r="BK58" s="18">
        <v>39</v>
      </c>
      <c r="BL58" s="17">
        <v>5.0999999999999996</v>
      </c>
      <c r="BM58" s="23">
        <v>4.8</v>
      </c>
      <c r="BN58" s="30">
        <f t="shared" si="34"/>
        <v>-5.8823529411764675</v>
      </c>
      <c r="BO58" s="17">
        <v>8.02</v>
      </c>
      <c r="BP58" s="22">
        <v>7.01</v>
      </c>
      <c r="BQ58" s="30">
        <f t="shared" si="35"/>
        <v>-12.593516209476308</v>
      </c>
      <c r="BR58" s="17">
        <v>3.81</v>
      </c>
      <c r="BS58" s="22">
        <v>3.41</v>
      </c>
      <c r="BT58" s="30">
        <f t="shared" si="36"/>
        <v>-10.498687664041991</v>
      </c>
      <c r="BU58" s="17">
        <f t="shared" si="73"/>
        <v>4.2099999999999991</v>
      </c>
      <c r="BV58" s="17">
        <f t="shared" si="55"/>
        <v>3.5999999999999996</v>
      </c>
      <c r="BW58" s="30">
        <f t="shared" si="37"/>
        <v>-14.489311163895477</v>
      </c>
      <c r="BX58" s="17">
        <v>189</v>
      </c>
      <c r="BY58" s="18">
        <v>183</v>
      </c>
      <c r="BZ58" s="30">
        <f t="shared" si="38"/>
        <v>-3.1746031746031744</v>
      </c>
      <c r="CA58" s="17">
        <v>37</v>
      </c>
      <c r="CB58" s="18">
        <v>38</v>
      </c>
      <c r="CC58" s="30">
        <f t="shared" si="39"/>
        <v>2.7027027027027026</v>
      </c>
      <c r="CD58" s="17">
        <f t="shared" si="83"/>
        <v>92.4</v>
      </c>
      <c r="CE58" s="17">
        <f>BY58-(CB58+CH58/5)</f>
        <v>100.4</v>
      </c>
      <c r="CF58" s="30">
        <f t="shared" si="40"/>
        <v>8.6580086580086579</v>
      </c>
      <c r="CG58" s="17">
        <v>298</v>
      </c>
      <c r="CH58" s="18">
        <v>223</v>
      </c>
      <c r="CI58" s="30">
        <f t="shared" si="41"/>
        <v>-25.167785234899331</v>
      </c>
      <c r="CJ58" s="17">
        <v>9.3000000000000007</v>
      </c>
      <c r="CK58" s="23">
        <v>11.9</v>
      </c>
      <c r="CL58" s="30">
        <f t="shared" si="42"/>
        <v>27.956989247311821</v>
      </c>
      <c r="CM58" s="17">
        <v>204</v>
      </c>
      <c r="CN58" s="18">
        <v>47.6</v>
      </c>
      <c r="CO58" s="30">
        <f t="shared" si="43"/>
        <v>-76.666666666666671</v>
      </c>
      <c r="CP58" s="17">
        <v>28.2</v>
      </c>
      <c r="CQ58" s="18">
        <v>24.7</v>
      </c>
      <c r="CR58" s="17">
        <v>28.7</v>
      </c>
      <c r="CS58" s="18">
        <v>53.7</v>
      </c>
      <c r="CT58" s="17">
        <f t="shared" si="63"/>
        <v>93.373134328358205</v>
      </c>
      <c r="CU58" s="17">
        <f t="shared" si="64"/>
        <v>13.853731343283581</v>
      </c>
      <c r="CV58" s="30">
        <f t="shared" si="44"/>
        <v>-85.163043478260875</v>
      </c>
      <c r="CW58" s="19">
        <f t="shared" si="65"/>
        <v>0.63422818791946312</v>
      </c>
      <c r="CX58" s="20">
        <f t="shared" si="66"/>
        <v>0.820627802690583</v>
      </c>
      <c r="CY58" s="19">
        <f t="shared" si="84"/>
        <v>0.31006711409395976</v>
      </c>
      <c r="CZ58" s="20">
        <f>CE58/CH58</f>
        <v>0.45022421524663681</v>
      </c>
      <c r="DA58" s="19">
        <f t="shared" si="74"/>
        <v>5.1081081081081079</v>
      </c>
      <c r="DB58" s="20">
        <f t="shared" si="69"/>
        <v>4.8157894736842106</v>
      </c>
      <c r="DC58" s="19">
        <f t="shared" si="75"/>
        <v>2.4972972972972975</v>
      </c>
      <c r="DD58" s="20">
        <f t="shared" si="70"/>
        <v>2.642105263157895</v>
      </c>
      <c r="DE58" s="19">
        <f t="shared" si="76"/>
        <v>152</v>
      </c>
      <c r="DF58" s="20">
        <f t="shared" si="71"/>
        <v>145</v>
      </c>
      <c r="DG58" s="19" t="s">
        <v>302</v>
      </c>
      <c r="DH58" s="16">
        <v>21.8</v>
      </c>
      <c r="DI58" s="19" t="s">
        <v>303</v>
      </c>
      <c r="DJ58" s="16">
        <v>297.81</v>
      </c>
      <c r="DK58" s="19" t="s">
        <v>304</v>
      </c>
      <c r="DL58" s="16">
        <v>171.17</v>
      </c>
      <c r="DM58" s="30">
        <f t="shared" si="45"/>
        <v>-0.88018993572297777</v>
      </c>
      <c r="DN58" s="19">
        <v>1053.71</v>
      </c>
      <c r="DO58" s="16">
        <v>1015.11</v>
      </c>
      <c r="DP58" s="30">
        <f t="shared" si="46"/>
        <v>-3.6632470034449729</v>
      </c>
      <c r="DQ58" s="19" t="s">
        <v>305</v>
      </c>
      <c r="DR58" s="16">
        <v>2.52</v>
      </c>
      <c r="DS58" s="30">
        <f t="shared" si="47"/>
        <v>-32.258064516129039</v>
      </c>
      <c r="DT58" s="21">
        <v>744.77</v>
      </c>
      <c r="DU58" s="16">
        <v>466.33</v>
      </c>
      <c r="DV58" s="30">
        <f t="shared" si="48"/>
        <v>-37.386038642802475</v>
      </c>
      <c r="DW58" s="19">
        <v>0.318</v>
      </c>
      <c r="DX58" s="16">
        <v>0.73699999999999999</v>
      </c>
      <c r="DY58" s="30">
        <f t="shared" si="49"/>
        <v>131.76100628930817</v>
      </c>
      <c r="DZ58" s="19">
        <v>599605</v>
      </c>
      <c r="EA58" s="16">
        <v>2066686.13</v>
      </c>
      <c r="EB58" s="30">
        <f t="shared" si="50"/>
        <v>244.67459911108142</v>
      </c>
      <c r="EC58" s="19">
        <v>1.23</v>
      </c>
      <c r="ED58" s="16">
        <v>5.33</v>
      </c>
      <c r="EE58" s="30">
        <f t="shared" si="51"/>
        <v>333.33333333333331</v>
      </c>
      <c r="EF58" s="19">
        <f t="shared" si="81"/>
        <v>206.60980392156864</v>
      </c>
      <c r="EG58" s="20">
        <f t="shared" si="82"/>
        <v>211.48125000000002</v>
      </c>
      <c r="EH58" s="16">
        <v>44.86</v>
      </c>
      <c r="EI58" s="16">
        <v>37.26</v>
      </c>
      <c r="EJ58" s="30">
        <f t="shared" si="52"/>
        <v>-16.941596076683016</v>
      </c>
      <c r="EK58" s="16">
        <v>61.33</v>
      </c>
      <c r="EL58" s="16">
        <v>59.15</v>
      </c>
      <c r="EM58" s="30">
        <f t="shared" si="53"/>
        <v>-3.5545410076634596</v>
      </c>
    </row>
    <row r="59" spans="1:143">
      <c r="A59" s="16">
        <v>46</v>
      </c>
      <c r="B59" s="16">
        <v>2</v>
      </c>
      <c r="C59" s="16">
        <v>1</v>
      </c>
      <c r="D59" s="16">
        <v>51</v>
      </c>
      <c r="E59" s="16">
        <v>1</v>
      </c>
      <c r="F59" s="16" t="s">
        <v>306</v>
      </c>
      <c r="G59" s="16">
        <v>1</v>
      </c>
      <c r="H59" s="16">
        <v>1</v>
      </c>
      <c r="I59" s="16">
        <v>75.3</v>
      </c>
      <c r="J59" s="16">
        <v>74.900000000000006</v>
      </c>
      <c r="K59" s="30">
        <f t="shared" si="18"/>
        <v>-0.53120849933597802</v>
      </c>
      <c r="L59" s="16">
        <v>1.52</v>
      </c>
      <c r="M59" s="16">
        <v>1.52</v>
      </c>
      <c r="N59" s="16">
        <v>32.590000000000003</v>
      </c>
      <c r="O59" s="16">
        <v>32.42</v>
      </c>
      <c r="P59" s="30">
        <f t="shared" si="19"/>
        <v>-0.52163240257748289</v>
      </c>
      <c r="Q59" s="16">
        <v>95</v>
      </c>
      <c r="R59" s="16">
        <v>91</v>
      </c>
      <c r="S59" s="30">
        <f t="shared" si="20"/>
        <v>-4.2105263157894735</v>
      </c>
      <c r="T59" s="16">
        <v>100</v>
      </c>
      <c r="U59" s="16">
        <v>104</v>
      </c>
      <c r="V59" s="30">
        <f t="shared" si="21"/>
        <v>4</v>
      </c>
      <c r="W59" s="16">
        <v>107</v>
      </c>
      <c r="X59" s="16">
        <v>102</v>
      </c>
      <c r="Y59" s="30">
        <f t="shared" si="22"/>
        <v>-4.6728971962616823</v>
      </c>
      <c r="Z59" s="16">
        <v>130</v>
      </c>
      <c r="AA59" s="16">
        <v>145</v>
      </c>
      <c r="AB59" s="30">
        <f t="shared" si="23"/>
        <v>11.538461538461538</v>
      </c>
      <c r="AC59" s="16">
        <v>85</v>
      </c>
      <c r="AD59" s="16">
        <v>90</v>
      </c>
      <c r="AE59" s="30">
        <f t="shared" si="24"/>
        <v>5.8823529411764701</v>
      </c>
      <c r="AF59" s="16">
        <v>25.5</v>
      </c>
      <c r="AG59" s="16">
        <v>27.1</v>
      </c>
      <c r="AH59" s="30">
        <f t="shared" si="25"/>
        <v>6.2745098039215739</v>
      </c>
      <c r="AI59" s="16">
        <v>371</v>
      </c>
      <c r="AJ59" s="16">
        <v>409</v>
      </c>
      <c r="AK59" s="30">
        <f t="shared" si="26"/>
        <v>10.242587601078167</v>
      </c>
      <c r="AL59" s="16">
        <v>42</v>
      </c>
      <c r="AM59" s="16">
        <v>42</v>
      </c>
      <c r="AN59" s="17">
        <v>98</v>
      </c>
      <c r="AO59" s="18">
        <v>103</v>
      </c>
      <c r="AP59" s="30">
        <f t="shared" si="27"/>
        <v>5.1020408163265305</v>
      </c>
      <c r="AQ59" s="17">
        <v>27</v>
      </c>
      <c r="AR59" s="18">
        <v>34</v>
      </c>
      <c r="AS59" s="30">
        <f t="shared" si="28"/>
        <v>25.925925925925924</v>
      </c>
      <c r="AT59" s="17">
        <v>0.86</v>
      </c>
      <c r="AU59" s="22">
        <v>0.76</v>
      </c>
      <c r="AV59" s="30">
        <f t="shared" si="29"/>
        <v>-11.627906976744184</v>
      </c>
      <c r="AW59" s="17">
        <v>0.4</v>
      </c>
      <c r="AX59" s="22">
        <v>0.32</v>
      </c>
      <c r="AY59" s="30">
        <f t="shared" si="30"/>
        <v>-20.000000000000004</v>
      </c>
      <c r="AZ59" s="17">
        <v>0.08</v>
      </c>
      <c r="BA59" s="22">
        <v>0.08</v>
      </c>
      <c r="BB59" s="30">
        <f t="shared" si="31"/>
        <v>0</v>
      </c>
      <c r="BC59" s="17">
        <f t="shared" si="72"/>
        <v>0.32</v>
      </c>
      <c r="BD59" s="17">
        <f t="shared" si="32"/>
        <v>0.24</v>
      </c>
      <c r="BE59" s="30">
        <f t="shared" si="33"/>
        <v>-25.000000000000007</v>
      </c>
      <c r="BF59" s="17">
        <v>20</v>
      </c>
      <c r="BG59" s="18">
        <v>25</v>
      </c>
      <c r="BH59" s="17">
        <v>17</v>
      </c>
      <c r="BI59" s="18">
        <v>14</v>
      </c>
      <c r="BJ59" s="17">
        <v>19</v>
      </c>
      <c r="BK59" s="18">
        <v>20</v>
      </c>
      <c r="BL59" s="17">
        <v>4.2</v>
      </c>
      <c r="BM59" s="23">
        <v>4.4000000000000004</v>
      </c>
      <c r="BN59" s="30">
        <f t="shared" si="34"/>
        <v>4.7619047619047654</v>
      </c>
      <c r="BO59" s="17">
        <v>7.59</v>
      </c>
      <c r="BP59" s="22">
        <v>7.06</v>
      </c>
      <c r="BQ59" s="30">
        <f t="shared" si="35"/>
        <v>-6.9828722002635084</v>
      </c>
      <c r="BR59" s="17">
        <v>3.8</v>
      </c>
      <c r="BS59" s="22">
        <v>3.55</v>
      </c>
      <c r="BT59" s="30">
        <f t="shared" si="36"/>
        <v>-6.5789473684210522</v>
      </c>
      <c r="BU59" s="17">
        <f t="shared" si="73"/>
        <v>3.79</v>
      </c>
      <c r="BV59" s="17">
        <f t="shared" si="55"/>
        <v>3.51</v>
      </c>
      <c r="BW59" s="30">
        <f t="shared" si="37"/>
        <v>-7.3878627968337804</v>
      </c>
      <c r="BX59" s="17">
        <v>301</v>
      </c>
      <c r="BY59" s="18">
        <v>255</v>
      </c>
      <c r="BZ59" s="30">
        <f t="shared" si="38"/>
        <v>-15.282392026578073</v>
      </c>
      <c r="CA59" s="17">
        <v>47</v>
      </c>
      <c r="CB59" s="18">
        <v>48</v>
      </c>
      <c r="CC59" s="30">
        <f t="shared" si="39"/>
        <v>2.1276595744680851</v>
      </c>
      <c r="CD59" s="17">
        <f t="shared" si="83"/>
        <v>229</v>
      </c>
      <c r="CE59" s="17">
        <f>BY59-(CB59+CH59/5)</f>
        <v>188.4</v>
      </c>
      <c r="CF59" s="30">
        <f t="shared" si="40"/>
        <v>-17.729257641921397</v>
      </c>
      <c r="CG59" s="17">
        <v>125</v>
      </c>
      <c r="CH59" s="18">
        <v>93</v>
      </c>
      <c r="CI59" s="30">
        <f t="shared" si="41"/>
        <v>-25.6</v>
      </c>
      <c r="CJ59" s="17">
        <v>7</v>
      </c>
      <c r="CK59" s="23">
        <v>8.4</v>
      </c>
      <c r="CL59" s="30">
        <f t="shared" si="42"/>
        <v>20.000000000000004</v>
      </c>
      <c r="CM59" s="17">
        <v>8.8000000000000007</v>
      </c>
      <c r="CN59" s="24" t="s">
        <v>307</v>
      </c>
      <c r="CO59" s="30" t="e">
        <f t="shared" si="43"/>
        <v>#VALUE!</v>
      </c>
      <c r="CP59" s="17">
        <v>12.2</v>
      </c>
      <c r="CQ59" s="24" t="s">
        <v>308</v>
      </c>
      <c r="CR59" s="17">
        <v>54.7</v>
      </c>
      <c r="CS59" s="18" t="s">
        <v>309</v>
      </c>
      <c r="CT59" s="17">
        <f t="shared" si="63"/>
        <v>2.1452736318407961</v>
      </c>
      <c r="CU59" s="17" t="e">
        <f t="shared" si="64"/>
        <v>#VALUE!</v>
      </c>
      <c r="CV59" s="30" t="e">
        <f t="shared" si="44"/>
        <v>#VALUE!</v>
      </c>
      <c r="CW59" s="19">
        <f t="shared" si="65"/>
        <v>2.4079999999999999</v>
      </c>
      <c r="CX59" s="20">
        <f t="shared" si="66"/>
        <v>2.7419354838709675</v>
      </c>
      <c r="CY59" s="19">
        <f t="shared" si="84"/>
        <v>1.8320000000000001</v>
      </c>
      <c r="CZ59" s="20">
        <f>CE59/CH59</f>
        <v>2.0258064516129033</v>
      </c>
      <c r="DA59" s="19">
        <f t="shared" si="74"/>
        <v>6.4042553191489358</v>
      </c>
      <c r="DB59" s="20">
        <f t="shared" si="69"/>
        <v>5.3125</v>
      </c>
      <c r="DC59" s="19">
        <f t="shared" si="75"/>
        <v>4.8723404255319149</v>
      </c>
      <c r="DD59" s="20">
        <f t="shared" si="70"/>
        <v>3.9250000000000003</v>
      </c>
      <c r="DE59" s="19">
        <f t="shared" si="76"/>
        <v>254</v>
      </c>
      <c r="DF59" s="20">
        <f t="shared" si="71"/>
        <v>207</v>
      </c>
      <c r="DG59" s="19">
        <v>20</v>
      </c>
      <c r="DH59" s="16">
        <v>17.8</v>
      </c>
      <c r="DI59" s="19" t="s">
        <v>310</v>
      </c>
      <c r="DJ59" s="16">
        <v>304.83999999999997</v>
      </c>
      <c r="DK59" s="19" t="s">
        <v>311</v>
      </c>
      <c r="DL59" s="16">
        <v>45.73</v>
      </c>
      <c r="DM59" s="30">
        <f t="shared" si="45"/>
        <v>-46.149317004239286</v>
      </c>
      <c r="DN59" s="19">
        <v>1052.97</v>
      </c>
      <c r="DO59" s="16">
        <v>997.17</v>
      </c>
      <c r="DP59" s="30">
        <f t="shared" si="46"/>
        <v>-5.2992962762471931</v>
      </c>
      <c r="DQ59" s="19" t="s">
        <v>312</v>
      </c>
      <c r="DR59" s="16">
        <v>3.88</v>
      </c>
      <c r="DS59" s="30">
        <f t="shared" si="47"/>
        <v>-45.352112676056336</v>
      </c>
      <c r="DT59" s="21">
        <v>432.67</v>
      </c>
      <c r="DU59" s="16">
        <v>480.21</v>
      </c>
      <c r="DV59" s="30">
        <f t="shared" si="48"/>
        <v>10.987588693461522</v>
      </c>
      <c r="DW59" s="19">
        <v>0.214</v>
      </c>
      <c r="DX59" s="16">
        <v>0.502</v>
      </c>
      <c r="DY59" s="30">
        <f t="shared" si="49"/>
        <v>134.57943925233647</v>
      </c>
      <c r="DZ59" s="19">
        <v>925102.04</v>
      </c>
      <c r="EA59" s="16">
        <v>1651703.55</v>
      </c>
      <c r="EB59" s="30">
        <f t="shared" si="50"/>
        <v>78.542850256821396</v>
      </c>
      <c r="EC59" s="26">
        <v>0.14000000000000001</v>
      </c>
      <c r="ED59" s="16">
        <v>0.89</v>
      </c>
      <c r="EE59" s="30">
        <f t="shared" si="51"/>
        <v>535.71428571428567</v>
      </c>
      <c r="EF59" s="19">
        <f t="shared" si="81"/>
        <v>250.70714285714286</v>
      </c>
      <c r="EG59" s="20">
        <f t="shared" si="82"/>
        <v>226.62954545454542</v>
      </c>
      <c r="EH59" s="16">
        <v>52.62</v>
      </c>
      <c r="EI59" s="16">
        <v>48.28</v>
      </c>
      <c r="EJ59" s="30">
        <f t="shared" si="52"/>
        <v>-8.2478145191942165</v>
      </c>
      <c r="EK59" s="16">
        <v>19.38</v>
      </c>
      <c r="EL59" s="16">
        <v>23.7</v>
      </c>
      <c r="EM59" s="30">
        <f t="shared" si="53"/>
        <v>22.291021671826627</v>
      </c>
    </row>
    <row r="60" spans="1:143">
      <c r="A60" s="16">
        <v>47</v>
      </c>
      <c r="B60" s="16">
        <v>2</v>
      </c>
      <c r="C60" s="16">
        <v>1</v>
      </c>
      <c r="D60" s="16">
        <v>64</v>
      </c>
      <c r="E60" s="16">
        <v>1</v>
      </c>
      <c r="F60" s="16" t="s">
        <v>313</v>
      </c>
      <c r="G60" s="16">
        <v>2</v>
      </c>
      <c r="H60" s="16">
        <v>1</v>
      </c>
      <c r="I60" s="16">
        <v>70.400000000000006</v>
      </c>
      <c r="J60" s="16">
        <v>69.7</v>
      </c>
      <c r="K60" s="30">
        <f t="shared" si="18"/>
        <v>-0.99431818181818576</v>
      </c>
      <c r="L60" s="16">
        <v>1.57</v>
      </c>
      <c r="M60" s="16">
        <v>1.57</v>
      </c>
      <c r="N60" s="16">
        <v>28.5</v>
      </c>
      <c r="O60" s="16">
        <v>28.27</v>
      </c>
      <c r="P60" s="30">
        <f t="shared" si="19"/>
        <v>-0.80701754385965074</v>
      </c>
      <c r="Q60" s="16">
        <v>90</v>
      </c>
      <c r="R60" s="16">
        <v>93</v>
      </c>
      <c r="S60" s="30">
        <f t="shared" si="20"/>
        <v>3.3333333333333335</v>
      </c>
      <c r="T60" s="16">
        <v>97</v>
      </c>
      <c r="U60" s="16">
        <v>103</v>
      </c>
      <c r="V60" s="30">
        <f t="shared" si="21"/>
        <v>6.1855670103092786</v>
      </c>
      <c r="W60" s="16">
        <v>101</v>
      </c>
      <c r="X60" s="16">
        <v>110</v>
      </c>
      <c r="Y60" s="30">
        <f t="shared" si="22"/>
        <v>8.9108910891089099</v>
      </c>
      <c r="Z60" s="16">
        <v>130</v>
      </c>
      <c r="AA60" s="16">
        <v>110</v>
      </c>
      <c r="AB60" s="30">
        <f t="shared" si="23"/>
        <v>-15.384615384615385</v>
      </c>
      <c r="AC60" s="16">
        <v>75</v>
      </c>
      <c r="AD60" s="16">
        <v>70</v>
      </c>
      <c r="AE60" s="30">
        <f t="shared" si="24"/>
        <v>-6.666666666666667</v>
      </c>
      <c r="AF60" s="16">
        <v>40.200000000000003</v>
      </c>
      <c r="AG60" s="16">
        <v>40.5</v>
      </c>
      <c r="AH60" s="30">
        <f t="shared" si="25"/>
        <v>0.74626865671641074</v>
      </c>
      <c r="AI60" s="16">
        <v>537</v>
      </c>
      <c r="AJ60" s="16">
        <v>556</v>
      </c>
      <c r="AK60" s="30">
        <f t="shared" si="26"/>
        <v>3.5381750465549344</v>
      </c>
      <c r="AL60" s="16">
        <v>38</v>
      </c>
      <c r="AM60" s="16">
        <v>38</v>
      </c>
      <c r="AN60" s="17">
        <v>100</v>
      </c>
      <c r="AO60" s="18">
        <v>86</v>
      </c>
      <c r="AP60" s="30">
        <f t="shared" si="27"/>
        <v>-14.000000000000002</v>
      </c>
      <c r="AQ60" s="17">
        <v>41</v>
      </c>
      <c r="AR60" s="18">
        <v>39</v>
      </c>
      <c r="AS60" s="30">
        <f t="shared" si="28"/>
        <v>-4.8780487804878048</v>
      </c>
      <c r="AT60" s="17">
        <v>0.89</v>
      </c>
      <c r="AU60" s="22">
        <v>0.85</v>
      </c>
      <c r="AV60" s="30">
        <f t="shared" si="29"/>
        <v>-4.494382022471914</v>
      </c>
      <c r="AW60" s="17">
        <v>0.28999999999999998</v>
      </c>
      <c r="AX60" s="22">
        <v>0.56999999999999995</v>
      </c>
      <c r="AY60" s="30">
        <f t="shared" si="30"/>
        <v>96.551724137931032</v>
      </c>
      <c r="AZ60" s="17">
        <v>0.04</v>
      </c>
      <c r="BA60" s="22">
        <v>0.11</v>
      </c>
      <c r="BB60" s="30">
        <f t="shared" si="31"/>
        <v>175.00000000000003</v>
      </c>
      <c r="BC60" s="17">
        <f t="shared" si="72"/>
        <v>0.24999999999999997</v>
      </c>
      <c r="BD60" s="17">
        <f t="shared" si="32"/>
        <v>0.45999999999999996</v>
      </c>
      <c r="BE60" s="30">
        <f t="shared" si="33"/>
        <v>84.000000000000014</v>
      </c>
      <c r="BF60" s="17">
        <v>35</v>
      </c>
      <c r="BG60" s="18">
        <v>30</v>
      </c>
      <c r="BH60" s="17">
        <v>19</v>
      </c>
      <c r="BI60" s="18">
        <v>18</v>
      </c>
      <c r="BJ60" s="17">
        <v>29</v>
      </c>
      <c r="BK60" s="18">
        <v>23</v>
      </c>
      <c r="BL60" s="17">
        <v>5.3</v>
      </c>
      <c r="BM60" s="23">
        <v>5.8</v>
      </c>
      <c r="BN60" s="30">
        <f t="shared" si="34"/>
        <v>9.433962264150944</v>
      </c>
      <c r="BO60" s="17">
        <v>7.85</v>
      </c>
      <c r="BP60" s="22">
        <v>7.46</v>
      </c>
      <c r="BQ60" s="30">
        <f t="shared" si="35"/>
        <v>-4.9681528662420344</v>
      </c>
      <c r="BR60" s="17">
        <v>3.89</v>
      </c>
      <c r="BS60" s="22">
        <v>3.87</v>
      </c>
      <c r="BT60" s="30">
        <f t="shared" si="36"/>
        <v>-0.51413881748072032</v>
      </c>
      <c r="BU60" s="17">
        <f t="shared" si="73"/>
        <v>3.9599999999999995</v>
      </c>
      <c r="BV60" s="17">
        <f t="shared" si="55"/>
        <v>3.59</v>
      </c>
      <c r="BW60" s="30">
        <f t="shared" si="37"/>
        <v>-9.3434343434343354</v>
      </c>
      <c r="BX60" s="17">
        <v>259</v>
      </c>
      <c r="BY60" s="18">
        <v>235</v>
      </c>
      <c r="BZ60" s="30">
        <f t="shared" si="38"/>
        <v>-9.2664092664092657</v>
      </c>
      <c r="CA60" s="17">
        <v>42</v>
      </c>
      <c r="CB60" s="18">
        <v>42</v>
      </c>
      <c r="CC60" s="30">
        <f t="shared" si="39"/>
        <v>0</v>
      </c>
      <c r="CD60" s="17">
        <f t="shared" si="83"/>
        <v>164.8</v>
      </c>
      <c r="CE60" s="17">
        <f>BY60-(CB60+CH60/5)</f>
        <v>145.80000000000001</v>
      </c>
      <c r="CF60" s="30">
        <f t="shared" si="40"/>
        <v>-11.529126213592232</v>
      </c>
      <c r="CG60" s="17">
        <v>261</v>
      </c>
      <c r="CH60" s="18">
        <v>236</v>
      </c>
      <c r="CI60" s="30">
        <f t="shared" si="41"/>
        <v>-9.5785440613026829</v>
      </c>
      <c r="CJ60" s="17">
        <v>3.4</v>
      </c>
      <c r="CK60" s="23">
        <v>2.2000000000000002</v>
      </c>
      <c r="CL60" s="30">
        <f t="shared" si="42"/>
        <v>-35.294117647058812</v>
      </c>
      <c r="CM60" s="17">
        <v>26.3</v>
      </c>
      <c r="CN60" s="24">
        <v>13</v>
      </c>
      <c r="CO60" s="30">
        <f t="shared" si="43"/>
        <v>-50.570342205323193</v>
      </c>
      <c r="CP60" s="17">
        <v>19.2</v>
      </c>
      <c r="CQ60" s="24" t="s">
        <v>314</v>
      </c>
      <c r="CR60" s="17">
        <v>73.8</v>
      </c>
      <c r="CS60" s="18" t="s">
        <v>315</v>
      </c>
      <c r="CT60" s="17">
        <f t="shared" si="63"/>
        <v>6.5422885572139302</v>
      </c>
      <c r="CU60" s="17">
        <f t="shared" si="64"/>
        <v>2.7810945273631842</v>
      </c>
      <c r="CV60" s="30">
        <f t="shared" si="44"/>
        <v>-57.490494296577943</v>
      </c>
      <c r="CW60" s="19">
        <f t="shared" si="65"/>
        <v>0.9923371647509579</v>
      </c>
      <c r="CX60" s="20">
        <f t="shared" si="66"/>
        <v>0.99576271186440679</v>
      </c>
      <c r="CY60" s="19">
        <f t="shared" si="84"/>
        <v>0.63141762452107286</v>
      </c>
      <c r="CZ60" s="20">
        <f>CE60/CH60</f>
        <v>0.61779661016949161</v>
      </c>
      <c r="DA60" s="19">
        <f t="shared" si="74"/>
        <v>6.166666666666667</v>
      </c>
      <c r="DB60" s="20">
        <f t="shared" si="69"/>
        <v>5.5952380952380949</v>
      </c>
      <c r="DC60" s="19">
        <f t="shared" si="75"/>
        <v>3.9238095238095241</v>
      </c>
      <c r="DD60" s="20">
        <f t="shared" si="70"/>
        <v>3.4714285714285715</v>
      </c>
      <c r="DE60" s="19">
        <f t="shared" si="76"/>
        <v>217</v>
      </c>
      <c r="DF60" s="20">
        <f t="shared" si="71"/>
        <v>193</v>
      </c>
      <c r="DG60" s="19" t="s">
        <v>316</v>
      </c>
      <c r="DH60" s="16">
        <v>27.4</v>
      </c>
      <c r="DI60" s="19" t="s">
        <v>317</v>
      </c>
      <c r="DJ60" s="16">
        <v>282.07</v>
      </c>
      <c r="DK60" s="19" t="s">
        <v>318</v>
      </c>
      <c r="DL60" s="16">
        <v>120.09</v>
      </c>
      <c r="DM60" s="30">
        <f t="shared" si="45"/>
        <v>-15.154726579058917</v>
      </c>
      <c r="DN60" s="19">
        <v>1201.9100000000001</v>
      </c>
      <c r="DO60" s="16">
        <v>1065.02</v>
      </c>
      <c r="DP60" s="30">
        <f t="shared" si="46"/>
        <v>-11.389371916366457</v>
      </c>
      <c r="DQ60" s="19" t="s">
        <v>319</v>
      </c>
      <c r="DR60" s="16">
        <v>4.6399999999999997</v>
      </c>
      <c r="DS60" s="30">
        <f t="shared" si="47"/>
        <v>-46.605293440736482</v>
      </c>
      <c r="DT60" s="21">
        <v>525.24</v>
      </c>
      <c r="DU60" s="16">
        <v>496.69</v>
      </c>
      <c r="DV60" s="30">
        <f t="shared" si="48"/>
        <v>-5.4356103876323223</v>
      </c>
      <c r="DW60" s="19">
        <v>0.27600000000000002</v>
      </c>
      <c r="DX60" s="16">
        <v>0.45500000000000002</v>
      </c>
      <c r="DY60" s="30">
        <f t="shared" si="49"/>
        <v>64.85507246376811</v>
      </c>
      <c r="DZ60" s="19">
        <v>594592.99</v>
      </c>
      <c r="EA60" s="16">
        <v>1980289.34</v>
      </c>
      <c r="EB60" s="30">
        <f t="shared" si="50"/>
        <v>233.04956050692763</v>
      </c>
      <c r="EC60" s="19">
        <v>0.55000000000000004</v>
      </c>
      <c r="ED60" s="16">
        <v>1.06</v>
      </c>
      <c r="EE60" s="30">
        <f t="shared" si="51"/>
        <v>92.72727272727272</v>
      </c>
      <c r="EF60" s="19">
        <f t="shared" si="81"/>
        <v>226.77547169811322</v>
      </c>
      <c r="EG60" s="20">
        <f t="shared" si="82"/>
        <v>183.62413793103448</v>
      </c>
      <c r="EH60" s="16">
        <v>45.8</v>
      </c>
      <c r="EI60" s="16">
        <v>54.03</v>
      </c>
      <c r="EJ60" s="30">
        <f t="shared" si="52"/>
        <v>17.96943231441049</v>
      </c>
      <c r="EK60" s="16">
        <v>36.76</v>
      </c>
      <c r="EL60" s="16">
        <v>39.5</v>
      </c>
      <c r="EM60" s="30">
        <f t="shared" si="53"/>
        <v>7.4537540805223124</v>
      </c>
    </row>
    <row r="61" spans="1:143">
      <c r="A61" s="16">
        <v>50</v>
      </c>
      <c r="B61" s="16">
        <v>2</v>
      </c>
      <c r="C61" s="16">
        <v>2</v>
      </c>
      <c r="D61" s="16">
        <v>56</v>
      </c>
      <c r="E61" s="16">
        <v>1</v>
      </c>
      <c r="F61" s="16" t="s">
        <v>320</v>
      </c>
      <c r="G61" s="16">
        <v>2</v>
      </c>
      <c r="H61" s="16">
        <v>1</v>
      </c>
      <c r="I61" s="16">
        <v>70.7</v>
      </c>
      <c r="J61" s="16">
        <v>69.7</v>
      </c>
      <c r="K61" s="30">
        <f t="shared" si="18"/>
        <v>-1.4144271570014144</v>
      </c>
      <c r="L61" s="16">
        <v>1.67</v>
      </c>
      <c r="M61" s="16">
        <v>1.67</v>
      </c>
      <c r="N61" s="16">
        <v>25.3</v>
      </c>
      <c r="O61" s="16">
        <v>24.99</v>
      </c>
      <c r="P61" s="30">
        <f t="shared" si="19"/>
        <v>-1.2252964426877559</v>
      </c>
      <c r="Q61" s="16">
        <v>94</v>
      </c>
      <c r="R61" s="16">
        <v>90</v>
      </c>
      <c r="S61" s="30">
        <f t="shared" si="20"/>
        <v>-4.2553191489361701</v>
      </c>
      <c r="T61" s="16">
        <v>95</v>
      </c>
      <c r="U61" s="16">
        <v>93</v>
      </c>
      <c r="V61" s="30">
        <f t="shared" si="21"/>
        <v>-2.1052631578947367</v>
      </c>
      <c r="W61" s="16">
        <v>94</v>
      </c>
      <c r="X61" s="16">
        <v>94</v>
      </c>
      <c r="Y61" s="30">
        <f t="shared" si="22"/>
        <v>0</v>
      </c>
      <c r="Z61" s="16">
        <v>140</v>
      </c>
      <c r="AA61" s="16">
        <v>140</v>
      </c>
      <c r="AB61" s="30">
        <f t="shared" si="23"/>
        <v>0</v>
      </c>
      <c r="AC61" s="16">
        <v>85</v>
      </c>
      <c r="AD61" s="16">
        <v>95</v>
      </c>
      <c r="AE61" s="30">
        <f t="shared" si="24"/>
        <v>11.76470588235294</v>
      </c>
      <c r="AF61" s="16">
        <v>32.1</v>
      </c>
      <c r="AG61" s="16">
        <v>32.1</v>
      </c>
      <c r="AH61" s="30">
        <f t="shared" si="25"/>
        <v>0</v>
      </c>
      <c r="AI61" s="16">
        <v>521</v>
      </c>
      <c r="AJ61" s="16">
        <v>537</v>
      </c>
      <c r="AK61" s="30">
        <f t="shared" si="26"/>
        <v>3.0710172744721689</v>
      </c>
      <c r="AL61" s="16">
        <v>34</v>
      </c>
      <c r="AM61" s="16">
        <v>33</v>
      </c>
      <c r="AN61" s="17">
        <v>294</v>
      </c>
      <c r="AO61" s="18">
        <v>275</v>
      </c>
      <c r="AP61" s="30">
        <f t="shared" si="27"/>
        <v>-6.462585034013606</v>
      </c>
      <c r="AQ61" s="17">
        <v>17</v>
      </c>
      <c r="AR61" s="18">
        <v>22</v>
      </c>
      <c r="AS61" s="30">
        <f t="shared" si="28"/>
        <v>29.411764705882355</v>
      </c>
      <c r="AT61" s="17">
        <v>0.7</v>
      </c>
      <c r="AU61" s="22">
        <v>0.67</v>
      </c>
      <c r="AV61" s="30">
        <f t="shared" si="29"/>
        <v>-4.285714285714274</v>
      </c>
      <c r="AW61" s="17">
        <v>0.53</v>
      </c>
      <c r="AX61" s="22">
        <v>0.66</v>
      </c>
      <c r="AY61" s="30">
        <f t="shared" si="30"/>
        <v>24.528301886792452</v>
      </c>
      <c r="AZ61" s="17">
        <v>0.14000000000000001</v>
      </c>
      <c r="BA61" s="22">
        <v>0.14000000000000001</v>
      </c>
      <c r="BB61" s="30">
        <f t="shared" si="31"/>
        <v>0</v>
      </c>
      <c r="BC61" s="17">
        <f t="shared" si="72"/>
        <v>0.39</v>
      </c>
      <c r="BD61" s="17">
        <f t="shared" si="32"/>
        <v>0.52</v>
      </c>
      <c r="BE61" s="30">
        <f t="shared" si="33"/>
        <v>33.333333333333329</v>
      </c>
      <c r="BF61" s="17">
        <v>29</v>
      </c>
      <c r="BG61" s="18">
        <v>37</v>
      </c>
      <c r="BH61" s="17">
        <v>16</v>
      </c>
      <c r="BI61" s="18">
        <v>19</v>
      </c>
      <c r="BJ61" s="17">
        <v>29</v>
      </c>
      <c r="BK61" s="18">
        <v>33</v>
      </c>
      <c r="BL61" s="17">
        <v>2.9</v>
      </c>
      <c r="BM61" s="23">
        <v>4.0999999999999996</v>
      </c>
      <c r="BN61" s="30">
        <f t="shared" si="34"/>
        <v>41.37931034482758</v>
      </c>
      <c r="BO61" s="17">
        <v>7.4</v>
      </c>
      <c r="BP61" s="22">
        <v>7.47</v>
      </c>
      <c r="BQ61" s="30">
        <f t="shared" si="35"/>
        <v>0.94594594594593762</v>
      </c>
      <c r="BR61" s="17">
        <v>4.0199999999999996</v>
      </c>
      <c r="BS61" s="22">
        <v>3.96</v>
      </c>
      <c r="BT61" s="30">
        <f t="shared" si="36"/>
        <v>-1.4925373134328264</v>
      </c>
      <c r="BU61" s="17">
        <f t="shared" si="73"/>
        <v>3.3800000000000008</v>
      </c>
      <c r="BV61" s="17">
        <f t="shared" si="55"/>
        <v>3.51</v>
      </c>
      <c r="BW61" s="30">
        <f t="shared" si="37"/>
        <v>3.8461538461538156</v>
      </c>
      <c r="BX61" s="17">
        <v>150</v>
      </c>
      <c r="BY61" s="18">
        <v>176</v>
      </c>
      <c r="BZ61" s="30">
        <f t="shared" si="38"/>
        <v>17.333333333333336</v>
      </c>
      <c r="CA61" s="17">
        <v>32</v>
      </c>
      <c r="CB61" s="18">
        <v>35</v>
      </c>
      <c r="CC61" s="30">
        <f t="shared" si="39"/>
        <v>9.375</v>
      </c>
      <c r="CD61" s="17">
        <f t="shared" si="83"/>
        <v>83</v>
      </c>
      <c r="CE61" s="17">
        <v>83</v>
      </c>
      <c r="CF61" s="30">
        <f t="shared" si="40"/>
        <v>0</v>
      </c>
      <c r="CG61" s="17">
        <v>175</v>
      </c>
      <c r="CH61" s="18">
        <v>441</v>
      </c>
      <c r="CI61" s="30">
        <f t="shared" si="41"/>
        <v>152</v>
      </c>
      <c r="CJ61" s="17">
        <v>3.6</v>
      </c>
      <c r="CK61" s="23">
        <v>3.2</v>
      </c>
      <c r="CL61" s="30">
        <f t="shared" si="42"/>
        <v>-11.111111111111107</v>
      </c>
      <c r="CM61" s="17">
        <v>8.6999999999999993</v>
      </c>
      <c r="CN61" s="24">
        <v>11</v>
      </c>
      <c r="CO61" s="30">
        <f t="shared" si="43"/>
        <v>26.436781609195414</v>
      </c>
      <c r="CP61" s="17">
        <v>15.4</v>
      </c>
      <c r="CQ61" s="24" t="s">
        <v>321</v>
      </c>
      <c r="CR61" s="17">
        <v>61.3</v>
      </c>
      <c r="CS61" s="18">
        <v>28</v>
      </c>
      <c r="CT61" s="17">
        <f t="shared" si="63"/>
        <v>6.3626865671641788</v>
      </c>
      <c r="CU61" s="17">
        <f t="shared" si="64"/>
        <v>7.5248756218905477</v>
      </c>
      <c r="CV61" s="30">
        <f t="shared" si="44"/>
        <v>18.265697083431085</v>
      </c>
      <c r="CW61" s="19">
        <f t="shared" si="65"/>
        <v>0.8571428571428571</v>
      </c>
      <c r="CX61" s="20">
        <f t="shared" si="66"/>
        <v>0.39909297052154197</v>
      </c>
      <c r="CY61" s="19">
        <f t="shared" si="84"/>
        <v>0.47428571428571431</v>
      </c>
      <c r="CZ61" s="20"/>
      <c r="DA61" s="19">
        <f t="shared" si="74"/>
        <v>4.6875</v>
      </c>
      <c r="DB61" s="20">
        <f t="shared" si="69"/>
        <v>5.0285714285714285</v>
      </c>
      <c r="DC61" s="19">
        <f t="shared" si="75"/>
        <v>2.59375</v>
      </c>
      <c r="DD61" s="20"/>
      <c r="DE61" s="19">
        <f t="shared" si="76"/>
        <v>118</v>
      </c>
      <c r="DF61" s="20">
        <f t="shared" si="71"/>
        <v>141</v>
      </c>
      <c r="DG61" s="19" t="s">
        <v>322</v>
      </c>
      <c r="DH61" s="16">
        <v>29.1</v>
      </c>
      <c r="DI61" s="19" t="s">
        <v>323</v>
      </c>
      <c r="DJ61" s="16">
        <v>342.8</v>
      </c>
      <c r="DK61" s="19" t="s">
        <v>324</v>
      </c>
      <c r="DL61" s="16">
        <v>94.72</v>
      </c>
      <c r="DM61" s="30">
        <f t="shared" si="45"/>
        <v>-9.1153329495298401</v>
      </c>
      <c r="DN61" s="19">
        <v>920.66</v>
      </c>
      <c r="DO61" s="16">
        <v>1045.52</v>
      </c>
      <c r="DP61" s="30">
        <f t="shared" si="46"/>
        <v>13.562009862489955</v>
      </c>
      <c r="DQ61" s="19" t="s">
        <v>325</v>
      </c>
      <c r="DR61" s="16">
        <v>4.76</v>
      </c>
      <c r="DS61" s="30">
        <f t="shared" si="47"/>
        <v>-43.801652892561989</v>
      </c>
      <c r="DT61" s="21">
        <v>366.06</v>
      </c>
      <c r="DU61" s="16">
        <v>393.92</v>
      </c>
      <c r="DV61" s="30">
        <f t="shared" si="48"/>
        <v>7.6107741900234975</v>
      </c>
      <c r="DW61" s="19">
        <v>0.33</v>
      </c>
      <c r="DX61" s="16">
        <v>0.36</v>
      </c>
      <c r="DY61" s="30">
        <f t="shared" si="49"/>
        <v>9.0909090909090811</v>
      </c>
      <c r="DZ61" s="19">
        <v>1169019.31</v>
      </c>
      <c r="EA61" s="16">
        <v>1427806.83</v>
      </c>
      <c r="EB61" s="30">
        <f t="shared" si="50"/>
        <v>22.137146733701087</v>
      </c>
      <c r="EC61" s="19">
        <v>3.5000000000000003E-2</v>
      </c>
      <c r="ED61" s="16">
        <v>2.6</v>
      </c>
      <c r="EE61" s="30">
        <f t="shared" si="51"/>
        <v>7328.5714285714275</v>
      </c>
      <c r="EF61" s="19">
        <f t="shared" si="81"/>
        <v>317.46896551724137</v>
      </c>
      <c r="EG61" s="20">
        <f t="shared" si="82"/>
        <v>255.00487804878051</v>
      </c>
      <c r="EH61" s="16">
        <v>45.82</v>
      </c>
      <c r="EI61" s="16">
        <v>53.09</v>
      </c>
      <c r="EJ61" s="30">
        <f t="shared" si="52"/>
        <v>15.866433871671765</v>
      </c>
      <c r="EK61" s="16">
        <v>35.04</v>
      </c>
      <c r="EL61" s="16">
        <v>41.36</v>
      </c>
      <c r="EM61" s="30">
        <f t="shared" si="53"/>
        <v>18.036529680365298</v>
      </c>
    </row>
    <row r="62" spans="1:143">
      <c r="A62" s="16">
        <v>53</v>
      </c>
      <c r="B62" s="16">
        <v>2</v>
      </c>
      <c r="C62" s="16">
        <v>1</v>
      </c>
      <c r="D62" s="16">
        <v>29</v>
      </c>
      <c r="E62" s="16">
        <v>1</v>
      </c>
      <c r="F62" s="16" t="s">
        <v>326</v>
      </c>
      <c r="G62" s="16">
        <v>2</v>
      </c>
      <c r="H62" s="16">
        <v>1</v>
      </c>
      <c r="I62" s="16">
        <v>126.2</v>
      </c>
      <c r="J62" s="16">
        <v>127.2</v>
      </c>
      <c r="K62" s="30">
        <f t="shared" si="18"/>
        <v>0.79239302694136293</v>
      </c>
      <c r="L62" s="16">
        <v>1.69</v>
      </c>
      <c r="M62" s="16">
        <v>1.69</v>
      </c>
      <c r="N62" s="16">
        <v>44.19</v>
      </c>
      <c r="O62" s="16">
        <v>44.48</v>
      </c>
      <c r="P62" s="30">
        <f t="shared" si="19"/>
        <v>0.65625707173568493</v>
      </c>
      <c r="Q62" s="16">
        <v>123</v>
      </c>
      <c r="R62" s="16">
        <v>122</v>
      </c>
      <c r="S62" s="30">
        <f t="shared" si="20"/>
        <v>-0.81300813008130091</v>
      </c>
      <c r="T62" s="16">
        <v>139</v>
      </c>
      <c r="U62" s="16">
        <v>140</v>
      </c>
      <c r="V62" s="30">
        <f t="shared" si="21"/>
        <v>0.71942446043165476</v>
      </c>
      <c r="W62" s="16">
        <v>137</v>
      </c>
      <c r="X62" s="16">
        <v>137</v>
      </c>
      <c r="Y62" s="30">
        <f t="shared" si="22"/>
        <v>0</v>
      </c>
      <c r="Z62" s="16">
        <v>190</v>
      </c>
      <c r="AA62" s="16">
        <v>190</v>
      </c>
      <c r="AB62" s="30">
        <f t="shared" si="23"/>
        <v>0</v>
      </c>
      <c r="AC62" s="16">
        <v>120</v>
      </c>
      <c r="AD62" s="16">
        <v>100</v>
      </c>
      <c r="AE62" s="30">
        <f t="shared" si="24"/>
        <v>-16.666666666666664</v>
      </c>
      <c r="AF62" s="16">
        <v>49</v>
      </c>
      <c r="AG62" s="16">
        <v>46.4</v>
      </c>
      <c r="AH62" s="30">
        <f t="shared" si="25"/>
        <v>-5.3061224489795942</v>
      </c>
      <c r="AI62" s="16">
        <v>389</v>
      </c>
      <c r="AJ62" s="16">
        <v>317</v>
      </c>
      <c r="AK62" s="30">
        <f t="shared" si="26"/>
        <v>-18.508997429305911</v>
      </c>
      <c r="AL62" s="16">
        <v>48</v>
      </c>
      <c r="AM62" s="16">
        <v>47</v>
      </c>
      <c r="AN62" s="17">
        <v>286</v>
      </c>
      <c r="AO62" s="18">
        <v>308</v>
      </c>
      <c r="AP62" s="30">
        <f t="shared" si="27"/>
        <v>7.6923076923076925</v>
      </c>
      <c r="AQ62" s="17">
        <v>28</v>
      </c>
      <c r="AR62" s="18">
        <v>37</v>
      </c>
      <c r="AS62" s="30">
        <f t="shared" si="28"/>
        <v>32.142857142857146</v>
      </c>
      <c r="AT62" s="17">
        <v>0.8</v>
      </c>
      <c r="AU62" s="22">
        <v>1</v>
      </c>
      <c r="AV62" s="30">
        <f t="shared" si="29"/>
        <v>24.999999999999993</v>
      </c>
      <c r="AW62" s="17">
        <v>0.22</v>
      </c>
      <c r="AX62" s="22">
        <v>0.13</v>
      </c>
      <c r="AY62" s="30">
        <f t="shared" si="30"/>
        <v>-40.909090909090907</v>
      </c>
      <c r="AZ62" s="17">
        <v>7.0000000000000007E-2</v>
      </c>
      <c r="BA62" s="22">
        <v>0.05</v>
      </c>
      <c r="BB62" s="30">
        <f t="shared" si="31"/>
        <v>-28.571428571428577</v>
      </c>
      <c r="BC62" s="17">
        <f t="shared" si="72"/>
        <v>0.15</v>
      </c>
      <c r="BD62" s="17">
        <f t="shared" si="32"/>
        <v>0.08</v>
      </c>
      <c r="BE62" s="30">
        <f t="shared" si="33"/>
        <v>-46.666666666666664</v>
      </c>
      <c r="BF62" s="17">
        <v>66</v>
      </c>
      <c r="BG62" s="18">
        <v>51</v>
      </c>
      <c r="BH62" s="17">
        <v>19</v>
      </c>
      <c r="BI62" s="18">
        <v>19</v>
      </c>
      <c r="BJ62" s="17">
        <v>33</v>
      </c>
      <c r="BK62" s="18">
        <v>33</v>
      </c>
      <c r="BL62" s="17">
        <v>4.9000000000000004</v>
      </c>
      <c r="BM62" s="23">
        <v>4.9000000000000004</v>
      </c>
      <c r="BN62" s="30">
        <f t="shared" si="34"/>
        <v>0</v>
      </c>
      <c r="BO62" s="17">
        <v>7.22</v>
      </c>
      <c r="BP62" s="22">
        <v>7.38</v>
      </c>
      <c r="BQ62" s="30">
        <f t="shared" si="35"/>
        <v>2.2160664819944618</v>
      </c>
      <c r="BR62" s="17">
        <v>2.86</v>
      </c>
      <c r="BS62" s="22">
        <v>3.17</v>
      </c>
      <c r="BT62" s="30">
        <f t="shared" si="36"/>
        <v>10.839160839160842</v>
      </c>
      <c r="BU62" s="17">
        <f t="shared" si="73"/>
        <v>4.3599999999999994</v>
      </c>
      <c r="BV62" s="17">
        <f t="shared" si="55"/>
        <v>4.21</v>
      </c>
      <c r="BW62" s="30">
        <f t="shared" si="37"/>
        <v>-3.4403669724770527</v>
      </c>
      <c r="BX62" s="17">
        <v>271</v>
      </c>
      <c r="BY62" s="18">
        <v>274</v>
      </c>
      <c r="BZ62" s="30">
        <f t="shared" si="38"/>
        <v>1.107011070110701</v>
      </c>
      <c r="CA62" s="17">
        <v>33</v>
      </c>
      <c r="CB62" s="18">
        <v>33</v>
      </c>
      <c r="CC62" s="30">
        <f t="shared" si="39"/>
        <v>0</v>
      </c>
      <c r="CD62" s="17">
        <f t="shared" si="83"/>
        <v>194.4</v>
      </c>
      <c r="CE62" s="17">
        <f>BY62-(CB62+CH62/5)</f>
        <v>192.6</v>
      </c>
      <c r="CF62" s="30">
        <f t="shared" si="40"/>
        <v>-0.92592592592593181</v>
      </c>
      <c r="CG62" s="17">
        <v>218</v>
      </c>
      <c r="CH62" s="18">
        <v>242</v>
      </c>
      <c r="CI62" s="30">
        <f t="shared" si="41"/>
        <v>11.009174311926607</v>
      </c>
      <c r="CJ62" s="17">
        <v>22.3</v>
      </c>
      <c r="CK62" s="23">
        <v>22.4</v>
      </c>
      <c r="CL62" s="30">
        <f t="shared" si="42"/>
        <v>0.44843049327353307</v>
      </c>
      <c r="CM62" s="17">
        <v>35.6</v>
      </c>
      <c r="CN62" s="18"/>
      <c r="CO62" s="30"/>
      <c r="CP62" s="17">
        <v>15.6</v>
      </c>
      <c r="CQ62" s="18">
        <v>29.4</v>
      </c>
      <c r="CR62" s="17">
        <v>31.9</v>
      </c>
      <c r="CS62" s="18">
        <v>40.5</v>
      </c>
      <c r="CT62" s="17">
        <f t="shared" si="63"/>
        <v>25.327363184079601</v>
      </c>
      <c r="CU62" s="35"/>
      <c r="CV62" s="30"/>
      <c r="CW62" s="19">
        <f t="shared" si="65"/>
        <v>1.2431192660550459</v>
      </c>
      <c r="CX62" s="20">
        <f t="shared" si="66"/>
        <v>1.1322314049586777</v>
      </c>
      <c r="CY62" s="19">
        <f t="shared" si="84"/>
        <v>0.8917431192660551</v>
      </c>
      <c r="CZ62" s="20">
        <f>CE62/CH62</f>
        <v>0.79586776859504127</v>
      </c>
      <c r="DA62" s="19">
        <f t="shared" si="74"/>
        <v>8.2121212121212128</v>
      </c>
      <c r="DB62" s="20">
        <f t="shared" si="69"/>
        <v>8.3030303030303028</v>
      </c>
      <c r="DC62" s="19">
        <f t="shared" si="75"/>
        <v>5.8909090909090907</v>
      </c>
      <c r="DD62" s="20">
        <f t="shared" si="70"/>
        <v>5.836363636363636</v>
      </c>
      <c r="DE62" s="19">
        <f t="shared" si="76"/>
        <v>238</v>
      </c>
      <c r="DF62" s="20">
        <f t="shared" si="71"/>
        <v>241</v>
      </c>
      <c r="DG62" s="19" t="s">
        <v>327</v>
      </c>
      <c r="DH62" s="16">
        <v>26.2</v>
      </c>
      <c r="DI62" s="19" t="s">
        <v>328</v>
      </c>
      <c r="DJ62" s="16">
        <v>253.96</v>
      </c>
      <c r="DK62" s="19" t="s">
        <v>329</v>
      </c>
      <c r="DL62" s="16">
        <v>119.46</v>
      </c>
      <c r="DM62" s="30">
        <f t="shared" si="45"/>
        <v>12.464695914140458</v>
      </c>
      <c r="DN62" s="19">
        <v>1062.6099999999999</v>
      </c>
      <c r="DO62" s="16">
        <v>933.86</v>
      </c>
      <c r="DP62" s="30">
        <f t="shared" si="46"/>
        <v>-12.116392655819153</v>
      </c>
      <c r="DQ62" s="19" t="s">
        <v>330</v>
      </c>
      <c r="DR62" s="16">
        <v>14.47</v>
      </c>
      <c r="DS62" s="30">
        <f t="shared" si="47"/>
        <v>39.671814671814687</v>
      </c>
      <c r="DT62" s="21">
        <v>428.78</v>
      </c>
      <c r="DU62" s="16">
        <v>584.55999999999995</v>
      </c>
      <c r="DV62" s="30">
        <f t="shared" si="48"/>
        <v>36.330985587014311</v>
      </c>
      <c r="DW62" s="19">
        <v>0.19900000000000001</v>
      </c>
      <c r="DX62" s="16">
        <v>0.437</v>
      </c>
      <c r="DY62" s="30">
        <f t="shared" si="49"/>
        <v>119.59798994974872</v>
      </c>
      <c r="DZ62" s="19">
        <v>1009951.41</v>
      </c>
      <c r="EA62" s="16">
        <v>1662800.98</v>
      </c>
      <c r="EB62" s="30">
        <f t="shared" si="50"/>
        <v>64.641681128005942</v>
      </c>
      <c r="EC62" s="19">
        <v>1.41</v>
      </c>
      <c r="ED62" s="16">
        <v>1.74</v>
      </c>
      <c r="EE62" s="30">
        <f t="shared" si="51"/>
        <v>23.404255319148941</v>
      </c>
      <c r="EF62" s="19">
        <f t="shared" si="81"/>
        <v>216.85918367346935</v>
      </c>
      <c r="EG62" s="20">
        <f t="shared" si="82"/>
        <v>190.58367346938775</v>
      </c>
      <c r="EH62" s="16">
        <v>41.59</v>
      </c>
      <c r="EI62" s="16">
        <v>41.4</v>
      </c>
      <c r="EJ62" s="30">
        <f t="shared" si="52"/>
        <v>-0.45684058667950189</v>
      </c>
      <c r="EK62" s="16">
        <v>31.29</v>
      </c>
      <c r="EL62" s="16">
        <v>31.29</v>
      </c>
      <c r="EM62" s="30">
        <f t="shared" si="53"/>
        <v>0</v>
      </c>
    </row>
    <row r="63" spans="1:143">
      <c r="A63" s="16">
        <v>56</v>
      </c>
      <c r="B63" s="16">
        <v>2</v>
      </c>
      <c r="C63" s="16">
        <v>1</v>
      </c>
      <c r="D63" s="16">
        <v>50</v>
      </c>
      <c r="E63" s="16">
        <v>1</v>
      </c>
      <c r="F63" s="16" t="s">
        <v>331</v>
      </c>
      <c r="G63" s="16">
        <v>2</v>
      </c>
      <c r="H63" s="16">
        <v>1</v>
      </c>
      <c r="I63" s="16">
        <v>100.9</v>
      </c>
      <c r="J63" s="16">
        <v>101.2</v>
      </c>
      <c r="K63" s="30">
        <f t="shared" si="18"/>
        <v>0.2973240832507405</v>
      </c>
      <c r="L63" s="16">
        <v>1.53</v>
      </c>
      <c r="M63" s="16">
        <v>1.53</v>
      </c>
      <c r="N63" s="16">
        <v>43.11</v>
      </c>
      <c r="O63" s="16">
        <v>43.23</v>
      </c>
      <c r="P63" s="30">
        <f t="shared" si="19"/>
        <v>0.27835768963117014</v>
      </c>
      <c r="Q63" s="16">
        <v>122</v>
      </c>
      <c r="R63" s="16">
        <v>116</v>
      </c>
      <c r="S63" s="30">
        <f t="shared" si="20"/>
        <v>-4.918032786885246</v>
      </c>
      <c r="T63" s="16">
        <v>131</v>
      </c>
      <c r="U63" s="16">
        <v>133</v>
      </c>
      <c r="V63" s="30">
        <f t="shared" si="21"/>
        <v>1.5267175572519083</v>
      </c>
      <c r="W63" s="16">
        <v>113</v>
      </c>
      <c r="X63" s="16">
        <v>123</v>
      </c>
      <c r="Y63" s="30">
        <f t="shared" si="22"/>
        <v>8.8495575221238933</v>
      </c>
      <c r="Z63" s="16">
        <v>140</v>
      </c>
      <c r="AA63" s="16">
        <v>145</v>
      </c>
      <c r="AB63" s="30">
        <f t="shared" si="23"/>
        <v>3.5714285714285712</v>
      </c>
      <c r="AC63" s="16">
        <v>90</v>
      </c>
      <c r="AD63" s="16">
        <v>95</v>
      </c>
      <c r="AE63" s="30">
        <f t="shared" si="24"/>
        <v>5.5555555555555554</v>
      </c>
      <c r="AF63" s="16">
        <v>48.4</v>
      </c>
      <c r="AG63" s="16">
        <v>49.7</v>
      </c>
      <c r="AH63" s="30">
        <f t="shared" si="25"/>
        <v>2.6859504132231491</v>
      </c>
      <c r="AI63" s="16">
        <v>347</v>
      </c>
      <c r="AJ63" s="16">
        <v>374</v>
      </c>
      <c r="AK63" s="30">
        <f t="shared" si="26"/>
        <v>7.7809798270893378</v>
      </c>
      <c r="AL63" s="16">
        <v>48</v>
      </c>
      <c r="AM63" s="16">
        <v>49</v>
      </c>
      <c r="AN63" s="17">
        <v>88</v>
      </c>
      <c r="AO63" s="18">
        <v>85</v>
      </c>
      <c r="AP63" s="30">
        <f t="shared" si="27"/>
        <v>-3.4090909090909087</v>
      </c>
      <c r="AQ63" s="17">
        <v>23</v>
      </c>
      <c r="AR63" s="18">
        <v>30</v>
      </c>
      <c r="AS63" s="30">
        <f t="shared" si="28"/>
        <v>30.434782608695656</v>
      </c>
      <c r="AT63" s="17">
        <v>0.62</v>
      </c>
      <c r="AU63" s="22">
        <v>0.63</v>
      </c>
      <c r="AV63" s="30">
        <f t="shared" si="29"/>
        <v>1.6129032258064528</v>
      </c>
      <c r="AW63" s="17">
        <v>0.37</v>
      </c>
      <c r="AX63" s="22">
        <v>0.34</v>
      </c>
      <c r="AY63" s="30">
        <f t="shared" si="30"/>
        <v>-8.1081081081080999</v>
      </c>
      <c r="AZ63" s="17">
        <v>7.0000000000000007E-2</v>
      </c>
      <c r="BA63" s="22">
        <v>0.08</v>
      </c>
      <c r="BB63" s="30">
        <f t="shared" si="31"/>
        <v>14.285714285714276</v>
      </c>
      <c r="BC63" s="17">
        <f t="shared" si="72"/>
        <v>0.3</v>
      </c>
      <c r="BD63" s="17">
        <f t="shared" si="32"/>
        <v>0.26</v>
      </c>
      <c r="BE63" s="30">
        <f t="shared" si="33"/>
        <v>-13.333333333333327</v>
      </c>
      <c r="BF63" s="17">
        <v>48</v>
      </c>
      <c r="BG63" s="18">
        <v>76</v>
      </c>
      <c r="BH63" s="17">
        <v>21</v>
      </c>
      <c r="BI63" s="18">
        <v>21</v>
      </c>
      <c r="BJ63" s="17">
        <v>27</v>
      </c>
      <c r="BK63" s="18">
        <v>31</v>
      </c>
      <c r="BL63" s="17">
        <v>4.4000000000000004</v>
      </c>
      <c r="BM63" s="23">
        <v>4.4000000000000004</v>
      </c>
      <c r="BN63" s="30">
        <f t="shared" si="34"/>
        <v>0</v>
      </c>
      <c r="BO63" s="17">
        <v>7.52</v>
      </c>
      <c r="BP63" s="22">
        <v>7.06</v>
      </c>
      <c r="BQ63" s="30">
        <f t="shared" si="35"/>
        <v>-6.1170212765957448</v>
      </c>
      <c r="BR63" s="17">
        <v>3.92</v>
      </c>
      <c r="BS63" s="22">
        <v>3.59</v>
      </c>
      <c r="BT63" s="30">
        <f t="shared" si="36"/>
        <v>-8.4183673469387781</v>
      </c>
      <c r="BU63" s="17">
        <f t="shared" si="73"/>
        <v>3.5999999999999996</v>
      </c>
      <c r="BV63" s="17">
        <f t="shared" si="55"/>
        <v>3.4699999999999998</v>
      </c>
      <c r="BW63" s="30">
        <f t="shared" si="37"/>
        <v>-3.6111111111111085</v>
      </c>
      <c r="BX63" s="17">
        <v>241</v>
      </c>
      <c r="BY63" s="18">
        <v>211</v>
      </c>
      <c r="BZ63" s="30">
        <f t="shared" si="38"/>
        <v>-12.448132780082988</v>
      </c>
      <c r="CA63" s="17">
        <v>49</v>
      </c>
      <c r="CB63" s="18">
        <v>45</v>
      </c>
      <c r="CC63" s="30">
        <f t="shared" si="39"/>
        <v>-8.1632653061224492</v>
      </c>
      <c r="CD63" s="17">
        <f t="shared" si="83"/>
        <v>168.6</v>
      </c>
      <c r="CE63" s="17">
        <f>BY63-(CB63+CH63/5)</f>
        <v>143.19999999999999</v>
      </c>
      <c r="CF63" s="30">
        <f t="shared" si="40"/>
        <v>-15.065243179122186</v>
      </c>
      <c r="CG63" s="17">
        <v>117</v>
      </c>
      <c r="CH63" s="18">
        <v>114</v>
      </c>
      <c r="CI63" s="30">
        <f t="shared" si="41"/>
        <v>-2.5641025641025639</v>
      </c>
      <c r="CJ63" s="17">
        <v>3.9</v>
      </c>
      <c r="CK63" s="23">
        <v>7</v>
      </c>
      <c r="CL63" s="30">
        <f t="shared" si="42"/>
        <v>79.487179487179489</v>
      </c>
      <c r="CM63" s="17">
        <v>10.199999999999999</v>
      </c>
      <c r="CN63" s="24" t="s">
        <v>332</v>
      </c>
      <c r="CO63" s="30" t="e">
        <f t="shared" si="43"/>
        <v>#VALUE!</v>
      </c>
      <c r="CP63" s="17">
        <v>19.3</v>
      </c>
      <c r="CQ63" s="24" t="s">
        <v>333</v>
      </c>
      <c r="CR63" s="17">
        <v>133.69999999999999</v>
      </c>
      <c r="CS63" s="18" t="s">
        <v>334</v>
      </c>
      <c r="CT63" s="17">
        <f t="shared" si="63"/>
        <v>2.2328358208955223</v>
      </c>
      <c r="CU63" s="17" t="e">
        <f t="shared" si="64"/>
        <v>#VALUE!</v>
      </c>
      <c r="CV63" s="30" t="e">
        <f t="shared" si="44"/>
        <v>#VALUE!</v>
      </c>
      <c r="CW63" s="19">
        <f t="shared" si="65"/>
        <v>2.0598290598290596</v>
      </c>
      <c r="CX63" s="20">
        <f t="shared" si="66"/>
        <v>1.8508771929824561</v>
      </c>
      <c r="CY63" s="19">
        <f t="shared" si="84"/>
        <v>1.441025641025641</v>
      </c>
      <c r="CZ63" s="20">
        <f>CE63/CH63</f>
        <v>1.2561403508771929</v>
      </c>
      <c r="DA63" s="19">
        <f t="shared" si="74"/>
        <v>4.9183673469387754</v>
      </c>
      <c r="DB63" s="20">
        <f t="shared" si="69"/>
        <v>4.6888888888888891</v>
      </c>
      <c r="DC63" s="19">
        <f t="shared" si="75"/>
        <v>3.4408163265306122</v>
      </c>
      <c r="DD63" s="20">
        <f t="shared" si="70"/>
        <v>3.1822222222222218</v>
      </c>
      <c r="DE63" s="19">
        <f t="shared" si="76"/>
        <v>192</v>
      </c>
      <c r="DF63" s="20">
        <f t="shared" si="71"/>
        <v>166</v>
      </c>
      <c r="DG63" s="19" t="s">
        <v>335</v>
      </c>
      <c r="DH63" s="16">
        <v>27.4</v>
      </c>
      <c r="DI63" s="19" t="s">
        <v>336</v>
      </c>
      <c r="DJ63" s="16">
        <v>310.10000000000002</v>
      </c>
      <c r="DK63" s="19" t="s">
        <v>337</v>
      </c>
      <c r="DL63" s="16">
        <v>47.99</v>
      </c>
      <c r="DM63" s="30">
        <f t="shared" si="45"/>
        <v>-39.498234997478562</v>
      </c>
      <c r="DN63" s="19">
        <v>1089.3800000000001</v>
      </c>
      <c r="DO63" s="16">
        <v>1114.5899999999999</v>
      </c>
      <c r="DP63" s="30">
        <f t="shared" si="46"/>
        <v>2.3141603480878854</v>
      </c>
      <c r="DQ63" s="19" t="s">
        <v>338</v>
      </c>
      <c r="DR63" s="16">
        <v>4.47</v>
      </c>
      <c r="DS63" s="30">
        <f t="shared" si="47"/>
        <v>-14.203454894433785</v>
      </c>
      <c r="DT63" s="21">
        <v>389.42</v>
      </c>
      <c r="DU63" s="16">
        <v>373.95</v>
      </c>
      <c r="DV63" s="30">
        <f t="shared" si="48"/>
        <v>-3.9725745981202882</v>
      </c>
      <c r="DW63" s="19">
        <v>0.30599999999999999</v>
      </c>
      <c r="DX63" s="16">
        <v>0.505</v>
      </c>
      <c r="DY63" s="30">
        <f t="shared" si="49"/>
        <v>65.032679738562095</v>
      </c>
      <c r="DZ63" s="19">
        <v>930265.23</v>
      </c>
      <c r="EA63" s="16">
        <v>1104816.02</v>
      </c>
      <c r="EB63" s="30">
        <f t="shared" si="50"/>
        <v>18.763550906874165</v>
      </c>
      <c r="EC63" s="19">
        <v>1.58</v>
      </c>
      <c r="ED63" s="16">
        <v>0.89</v>
      </c>
      <c r="EE63" s="30">
        <f t="shared" si="51"/>
        <v>-43.670886075949369</v>
      </c>
      <c r="EF63" s="19">
        <f t="shared" si="81"/>
        <v>247.58636363636364</v>
      </c>
      <c r="EG63" s="20">
        <f t="shared" si="82"/>
        <v>253.31590909090906</v>
      </c>
      <c r="EH63" s="16">
        <v>61.51</v>
      </c>
      <c r="EI63" s="16">
        <v>39.25</v>
      </c>
      <c r="EJ63" s="30">
        <f t="shared" si="52"/>
        <v>-36.189237522354084</v>
      </c>
      <c r="EK63" s="16">
        <v>35.19</v>
      </c>
      <c r="EL63" s="16">
        <v>45.07</v>
      </c>
      <c r="EM63" s="30">
        <f t="shared" si="53"/>
        <v>28.076157999431668</v>
      </c>
    </row>
    <row r="64" spans="1:143">
      <c r="A64" s="16">
        <v>67</v>
      </c>
      <c r="B64" s="16">
        <v>2</v>
      </c>
      <c r="C64" s="16">
        <v>1</v>
      </c>
      <c r="D64" s="16">
        <v>50</v>
      </c>
      <c r="E64" s="16">
        <v>1</v>
      </c>
      <c r="F64" s="16" t="s">
        <v>339</v>
      </c>
      <c r="G64" s="16">
        <v>1</v>
      </c>
      <c r="H64" s="16">
        <v>1</v>
      </c>
      <c r="I64" s="16">
        <v>67.599999999999994</v>
      </c>
      <c r="J64" s="16">
        <v>66.3</v>
      </c>
      <c r="K64" s="30">
        <f t="shared" si="18"/>
        <v>-1.9230769230769189</v>
      </c>
      <c r="L64" s="16">
        <v>1.59</v>
      </c>
      <c r="M64" s="16">
        <v>1.59</v>
      </c>
      <c r="N64" s="16">
        <v>26.74</v>
      </c>
      <c r="O64" s="16">
        <v>26.23</v>
      </c>
      <c r="P64" s="30">
        <f t="shared" si="19"/>
        <v>-1.9072550486162978</v>
      </c>
      <c r="Q64" s="16">
        <v>81</v>
      </c>
      <c r="R64" s="16">
        <v>80</v>
      </c>
      <c r="S64" s="30">
        <f t="shared" si="20"/>
        <v>-1.2345679012345678</v>
      </c>
      <c r="T64" s="16">
        <v>89</v>
      </c>
      <c r="U64" s="16">
        <v>88</v>
      </c>
      <c r="V64" s="30">
        <f t="shared" si="21"/>
        <v>-1.1235955056179776</v>
      </c>
      <c r="W64" s="16">
        <v>101</v>
      </c>
      <c r="X64" s="16">
        <v>100</v>
      </c>
      <c r="Y64" s="30">
        <f t="shared" si="22"/>
        <v>-0.99009900990099009</v>
      </c>
      <c r="Z64" s="16">
        <v>120</v>
      </c>
      <c r="AA64" s="16">
        <v>110</v>
      </c>
      <c r="AB64" s="30">
        <f t="shared" si="23"/>
        <v>-8.3333333333333321</v>
      </c>
      <c r="AC64" s="16">
        <v>75</v>
      </c>
      <c r="AD64" s="16">
        <v>70</v>
      </c>
      <c r="AE64" s="30">
        <f t="shared" si="24"/>
        <v>-6.666666666666667</v>
      </c>
      <c r="AF64" s="16">
        <v>32.700000000000003</v>
      </c>
      <c r="AG64" s="16">
        <v>36.1</v>
      </c>
      <c r="AH64" s="30">
        <f t="shared" si="25"/>
        <v>10.397553516819565</v>
      </c>
      <c r="AI64" s="16">
        <v>466</v>
      </c>
      <c r="AJ64" s="16">
        <v>551</v>
      </c>
      <c r="AK64" s="30">
        <f t="shared" si="26"/>
        <v>18.240343347639485</v>
      </c>
      <c r="AL64" s="16">
        <v>33</v>
      </c>
      <c r="AM64" s="16">
        <v>34</v>
      </c>
      <c r="AN64" s="17">
        <v>92</v>
      </c>
      <c r="AO64" s="18">
        <v>88</v>
      </c>
      <c r="AP64" s="30">
        <f t="shared" si="27"/>
        <v>-4.3478260869565215</v>
      </c>
      <c r="AQ64" s="17">
        <v>25</v>
      </c>
      <c r="AR64" s="18">
        <v>29</v>
      </c>
      <c r="AS64" s="30">
        <f t="shared" si="28"/>
        <v>16</v>
      </c>
      <c r="AT64" s="17">
        <v>0.84</v>
      </c>
      <c r="AU64" s="22">
        <v>0.69</v>
      </c>
      <c r="AV64" s="30">
        <f t="shared" si="29"/>
        <v>-17.857142857142861</v>
      </c>
      <c r="AW64" s="17">
        <v>0.54</v>
      </c>
      <c r="AX64" s="22">
        <v>0.63</v>
      </c>
      <c r="AY64" s="30">
        <f t="shared" si="30"/>
        <v>16.666666666666661</v>
      </c>
      <c r="AZ64" s="17">
        <v>0.12</v>
      </c>
      <c r="BA64" s="22">
        <v>0.17</v>
      </c>
      <c r="BB64" s="30">
        <f t="shared" si="31"/>
        <v>41.666666666666679</v>
      </c>
      <c r="BC64" s="17">
        <f t="shared" si="72"/>
        <v>0.42000000000000004</v>
      </c>
      <c r="BD64" s="17">
        <f t="shared" si="32"/>
        <v>0.45999999999999996</v>
      </c>
      <c r="BE64" s="30">
        <f t="shared" si="33"/>
        <v>9.523809523809506</v>
      </c>
      <c r="BF64" s="17">
        <v>30</v>
      </c>
      <c r="BG64" s="18">
        <v>42</v>
      </c>
      <c r="BH64" s="17">
        <v>24</v>
      </c>
      <c r="BI64" s="18">
        <v>23</v>
      </c>
      <c r="BJ64" s="17">
        <v>25</v>
      </c>
      <c r="BK64" s="18">
        <v>30</v>
      </c>
      <c r="BL64" s="17">
        <v>4</v>
      </c>
      <c r="BM64" s="23">
        <v>3.3</v>
      </c>
      <c r="BN64" s="30">
        <f t="shared" si="34"/>
        <v>-17.500000000000004</v>
      </c>
      <c r="BO64" s="17">
        <v>7.22</v>
      </c>
      <c r="BP64" s="22">
        <v>7.21</v>
      </c>
      <c r="BQ64" s="30">
        <f t="shared" si="35"/>
        <v>-0.13850415512465078</v>
      </c>
      <c r="BR64" s="17">
        <v>3.84</v>
      </c>
      <c r="BS64" s="22">
        <v>3.84</v>
      </c>
      <c r="BT64" s="30">
        <f t="shared" si="36"/>
        <v>0</v>
      </c>
      <c r="BU64" s="17">
        <f>BO64-BR64</f>
        <v>3.38</v>
      </c>
      <c r="BV64" s="17">
        <f t="shared" si="55"/>
        <v>3.37</v>
      </c>
      <c r="BW64" s="30">
        <f t="shared" si="37"/>
        <v>-0.29585798816567416</v>
      </c>
      <c r="BX64" s="17">
        <v>216</v>
      </c>
      <c r="BY64" s="18">
        <v>195</v>
      </c>
      <c r="BZ64" s="30">
        <f t="shared" si="38"/>
        <v>-9.7222222222222232</v>
      </c>
      <c r="CA64" s="17">
        <v>40</v>
      </c>
      <c r="CB64" s="18">
        <v>39</v>
      </c>
      <c r="CC64" s="30">
        <f t="shared" si="39"/>
        <v>-2.5</v>
      </c>
      <c r="CD64" s="17">
        <f t="shared" si="83"/>
        <v>142.6</v>
      </c>
      <c r="CE64" s="17">
        <f>BY64-(CB64+CH64/5)</f>
        <v>118.8</v>
      </c>
      <c r="CF64" s="30">
        <f t="shared" si="40"/>
        <v>-16.690042075736326</v>
      </c>
      <c r="CG64" s="17">
        <v>167</v>
      </c>
      <c r="CH64" s="18">
        <v>186</v>
      </c>
      <c r="CI64" s="30">
        <f t="shared" si="41"/>
        <v>11.377245508982035</v>
      </c>
      <c r="CJ64" s="17">
        <v>6.1</v>
      </c>
      <c r="CK64" s="23">
        <v>4.3</v>
      </c>
      <c r="CL64" s="30">
        <f t="shared" si="42"/>
        <v>-29.508196721311474</v>
      </c>
      <c r="CM64" s="17">
        <v>6.2</v>
      </c>
      <c r="CN64" s="24" t="s">
        <v>340</v>
      </c>
      <c r="CO64" s="30" t="e">
        <f t="shared" si="43"/>
        <v>#VALUE!</v>
      </c>
      <c r="CP64" s="17">
        <v>18</v>
      </c>
      <c r="CQ64" s="24" t="s">
        <v>341</v>
      </c>
      <c r="CR64" s="17">
        <v>52.2</v>
      </c>
      <c r="CS64" s="18" t="s">
        <v>342</v>
      </c>
      <c r="CT64" s="17">
        <f t="shared" si="63"/>
        <v>1.4189054726368158</v>
      </c>
      <c r="CU64" s="17" t="e">
        <f t="shared" si="64"/>
        <v>#VALUE!</v>
      </c>
      <c r="CV64" s="30" t="e">
        <f t="shared" si="44"/>
        <v>#VALUE!</v>
      </c>
      <c r="CW64" s="19">
        <f t="shared" si="65"/>
        <v>1.2934131736526946</v>
      </c>
      <c r="CX64" s="20">
        <f t="shared" si="66"/>
        <v>1.0483870967741935</v>
      </c>
      <c r="CY64" s="19">
        <f t="shared" si="84"/>
        <v>0.85389221556886219</v>
      </c>
      <c r="CZ64" s="20">
        <f>CE64/CH64</f>
        <v>0.6387096774193548</v>
      </c>
      <c r="DA64" s="19">
        <f t="shared" si="74"/>
        <v>5.4</v>
      </c>
      <c r="DB64" s="20">
        <f t="shared" si="69"/>
        <v>5</v>
      </c>
      <c r="DC64" s="19">
        <f t="shared" si="75"/>
        <v>3.5649999999999999</v>
      </c>
      <c r="DD64" s="20">
        <f t="shared" si="70"/>
        <v>3.046153846153846</v>
      </c>
      <c r="DE64" s="19">
        <f t="shared" si="76"/>
        <v>176</v>
      </c>
      <c r="DF64" s="20">
        <f t="shared" si="71"/>
        <v>156</v>
      </c>
      <c r="DG64" s="19" t="s">
        <v>343</v>
      </c>
      <c r="DH64" s="16">
        <v>22.9</v>
      </c>
      <c r="DI64" s="19" t="s">
        <v>344</v>
      </c>
      <c r="DJ64" s="16">
        <v>276.23</v>
      </c>
      <c r="DK64" s="19" t="s">
        <v>345</v>
      </c>
      <c r="DL64" s="16">
        <v>90.7</v>
      </c>
      <c r="DM64" s="30">
        <f t="shared" si="45"/>
        <v>17.168324505877802</v>
      </c>
      <c r="DN64" s="19">
        <v>1115.57</v>
      </c>
      <c r="DO64" s="16">
        <v>1093</v>
      </c>
      <c r="DP64" s="30">
        <f t="shared" si="46"/>
        <v>-2.0231809747483296</v>
      </c>
      <c r="DQ64" s="19" t="s">
        <v>346</v>
      </c>
      <c r="DR64" s="16">
        <v>6.88</v>
      </c>
      <c r="DS64" s="30">
        <f t="shared" si="47"/>
        <v>21.769911504424769</v>
      </c>
      <c r="DT64" s="21">
        <v>521.17999999999995</v>
      </c>
      <c r="DU64" s="16">
        <v>416.29</v>
      </c>
      <c r="DV64" s="30">
        <f t="shared" si="48"/>
        <v>-20.125484477531742</v>
      </c>
      <c r="DW64" s="19">
        <v>0.97799999999999998</v>
      </c>
      <c r="DX64" s="16">
        <v>0.624</v>
      </c>
      <c r="DY64" s="30">
        <f t="shared" si="49"/>
        <v>-36.196319018404907</v>
      </c>
      <c r="DZ64" s="19">
        <v>1677169.7</v>
      </c>
      <c r="EA64" s="16">
        <v>5596148.9699999997</v>
      </c>
      <c r="EB64" s="30">
        <f t="shared" si="50"/>
        <v>233.66623365542557</v>
      </c>
      <c r="EC64" s="19">
        <v>0.89</v>
      </c>
      <c r="ED64" s="16">
        <v>0.89</v>
      </c>
      <c r="EE64" s="30">
        <f t="shared" si="51"/>
        <v>0</v>
      </c>
      <c r="EF64" s="19">
        <f t="shared" si="81"/>
        <v>278.89249999999998</v>
      </c>
      <c r="EG64" s="20">
        <f t="shared" si="82"/>
        <v>331.21212121212125</v>
      </c>
      <c r="EH64" s="16">
        <v>38.909999999999997</v>
      </c>
      <c r="EI64" s="16">
        <v>34.46</v>
      </c>
      <c r="EJ64" s="30">
        <f t="shared" si="52"/>
        <v>-11.436648676432783</v>
      </c>
      <c r="EK64" s="16">
        <v>6.36</v>
      </c>
      <c r="EL64" s="16">
        <v>36.119999999999997</v>
      </c>
      <c r="EM64" s="30">
        <f t="shared" si="53"/>
        <v>467.92452830188677</v>
      </c>
    </row>
    <row r="65" spans="1:143">
      <c r="A65" s="16">
        <v>76</v>
      </c>
      <c r="B65" s="16">
        <v>2</v>
      </c>
      <c r="C65" s="16">
        <v>1</v>
      </c>
      <c r="D65" s="16">
        <v>54</v>
      </c>
      <c r="E65" s="16">
        <v>2</v>
      </c>
      <c r="F65" s="16" t="s">
        <v>347</v>
      </c>
      <c r="G65" s="16">
        <v>2</v>
      </c>
      <c r="H65" s="16">
        <v>1</v>
      </c>
      <c r="I65" s="16">
        <v>115.4</v>
      </c>
      <c r="J65" s="16">
        <v>115</v>
      </c>
      <c r="K65" s="30">
        <f t="shared" si="18"/>
        <v>-0.34662045060659069</v>
      </c>
      <c r="L65" s="16">
        <v>1.73</v>
      </c>
      <c r="M65" s="16">
        <v>1.73</v>
      </c>
      <c r="N65" s="16">
        <v>38.6</v>
      </c>
      <c r="O65" s="16">
        <v>38.46</v>
      </c>
      <c r="P65" s="30">
        <f t="shared" si="19"/>
        <v>-0.36269430051813617</v>
      </c>
      <c r="Q65" s="16">
        <v>120</v>
      </c>
      <c r="R65" s="16">
        <v>119</v>
      </c>
      <c r="S65" s="30">
        <f t="shared" si="20"/>
        <v>-0.83333333333333337</v>
      </c>
      <c r="T65" s="16">
        <v>121</v>
      </c>
      <c r="U65" s="16">
        <v>121</v>
      </c>
      <c r="V65" s="30">
        <f t="shared" si="21"/>
        <v>0</v>
      </c>
      <c r="W65" s="16">
        <v>117</v>
      </c>
      <c r="X65" s="16">
        <v>118</v>
      </c>
      <c r="Y65" s="30">
        <f t="shared" si="22"/>
        <v>0.85470085470085477</v>
      </c>
      <c r="Z65" s="16">
        <v>120</v>
      </c>
      <c r="AA65" s="16">
        <v>130</v>
      </c>
      <c r="AB65" s="30">
        <f t="shared" si="23"/>
        <v>8.3333333333333321</v>
      </c>
      <c r="AC65" s="16">
        <v>90</v>
      </c>
      <c r="AD65" s="16">
        <v>90</v>
      </c>
      <c r="AE65" s="30">
        <f t="shared" si="24"/>
        <v>0</v>
      </c>
      <c r="AF65" s="16">
        <v>29.8</v>
      </c>
      <c r="AG65" s="16">
        <v>33.299999999999997</v>
      </c>
      <c r="AH65" s="30">
        <f t="shared" si="25"/>
        <v>11.744966442953007</v>
      </c>
      <c r="AI65" s="16">
        <v>269</v>
      </c>
      <c r="AJ65" s="16">
        <v>316</v>
      </c>
      <c r="AK65" s="30">
        <f t="shared" si="26"/>
        <v>17.472118959107807</v>
      </c>
      <c r="AL65" s="16">
        <v>45</v>
      </c>
      <c r="AM65" s="16">
        <v>45</v>
      </c>
      <c r="AN65" s="17">
        <v>277</v>
      </c>
      <c r="AO65" s="18">
        <v>291</v>
      </c>
      <c r="AP65" s="30">
        <f t="shared" si="27"/>
        <v>5.0541516245487363</v>
      </c>
      <c r="AQ65" s="17">
        <v>30</v>
      </c>
      <c r="AR65" s="18">
        <v>34</v>
      </c>
      <c r="AS65" s="30">
        <f t="shared" si="28"/>
        <v>13.333333333333334</v>
      </c>
      <c r="AT65" s="17">
        <v>1</v>
      </c>
      <c r="AU65" s="22">
        <v>0.96</v>
      </c>
      <c r="AV65" s="30">
        <f t="shared" si="29"/>
        <v>-4.0000000000000036</v>
      </c>
      <c r="AW65" s="17">
        <v>0.71</v>
      </c>
      <c r="AX65" s="22">
        <v>0.8</v>
      </c>
      <c r="AY65" s="30">
        <f t="shared" si="30"/>
        <v>12.676056338028181</v>
      </c>
      <c r="AZ65" s="17">
        <v>0.15</v>
      </c>
      <c r="BA65" s="22">
        <v>0.16</v>
      </c>
      <c r="BB65" s="30">
        <f t="shared" si="31"/>
        <v>6.6666666666666732</v>
      </c>
      <c r="BC65" s="17">
        <f t="shared" si="72"/>
        <v>0.55999999999999994</v>
      </c>
      <c r="BD65" s="17">
        <f t="shared" si="32"/>
        <v>0.64</v>
      </c>
      <c r="BE65" s="30">
        <f t="shared" si="33"/>
        <v>14.285714285714299</v>
      </c>
      <c r="BF65" s="17">
        <v>48</v>
      </c>
      <c r="BG65" s="18">
        <v>42</v>
      </c>
      <c r="BH65" s="17">
        <v>19</v>
      </c>
      <c r="BI65" s="18">
        <v>18</v>
      </c>
      <c r="BJ65" s="17">
        <v>29</v>
      </c>
      <c r="BK65" s="18">
        <v>27</v>
      </c>
      <c r="BL65" s="17">
        <v>4.7</v>
      </c>
      <c r="BM65" s="23">
        <v>5.6</v>
      </c>
      <c r="BN65" s="30">
        <f t="shared" si="34"/>
        <v>19.148936170212753</v>
      </c>
      <c r="BO65" s="17">
        <v>7.73</v>
      </c>
      <c r="BP65" s="22">
        <v>7.18</v>
      </c>
      <c r="BQ65" s="30">
        <f t="shared" si="35"/>
        <v>-7.1151358344113929</v>
      </c>
      <c r="BR65" s="17">
        <v>3.77</v>
      </c>
      <c r="BS65" s="22">
        <v>3.62</v>
      </c>
      <c r="BT65" s="30">
        <f t="shared" si="36"/>
        <v>-3.9787798408488042</v>
      </c>
      <c r="BU65" s="17">
        <f t="shared" ref="BU65:BU80" si="85">BO65-BR65</f>
        <v>3.9600000000000004</v>
      </c>
      <c r="BV65" s="17">
        <f t="shared" si="55"/>
        <v>3.5599999999999996</v>
      </c>
      <c r="BW65" s="30">
        <f t="shared" si="37"/>
        <v>-10.10101010101012</v>
      </c>
      <c r="BX65" s="17">
        <v>213</v>
      </c>
      <c r="BY65" s="18">
        <v>193</v>
      </c>
      <c r="BZ65" s="30">
        <f t="shared" si="38"/>
        <v>-9.3896713615023462</v>
      </c>
      <c r="CA65" s="17">
        <v>28</v>
      </c>
      <c r="CB65" s="18">
        <v>26</v>
      </c>
      <c r="CC65" s="30">
        <f t="shared" si="39"/>
        <v>-7.1428571428571423</v>
      </c>
      <c r="CD65" s="17">
        <f t="shared" si="83"/>
        <v>127</v>
      </c>
      <c r="CE65" s="17">
        <v>127</v>
      </c>
      <c r="CF65" s="30">
        <f t="shared" si="40"/>
        <v>0</v>
      </c>
      <c r="CG65" s="17">
        <v>290</v>
      </c>
      <c r="CH65" s="18">
        <v>454</v>
      </c>
      <c r="CI65" s="30">
        <f t="shared" si="41"/>
        <v>56.551724137931039</v>
      </c>
      <c r="CJ65" s="17">
        <v>4.2</v>
      </c>
      <c r="CK65" s="23">
        <v>2.9</v>
      </c>
      <c r="CL65" s="30">
        <f t="shared" si="42"/>
        <v>-30.95238095238096</v>
      </c>
      <c r="CM65" s="17">
        <v>9.3000000000000007</v>
      </c>
      <c r="CN65" s="18">
        <v>8.1</v>
      </c>
      <c r="CO65" s="30">
        <f t="shared" si="43"/>
        <v>-12.903225806451623</v>
      </c>
      <c r="CP65" s="17">
        <v>20.399999999999999</v>
      </c>
      <c r="CQ65" s="18">
        <v>37</v>
      </c>
      <c r="CR65" s="17">
        <v>49.9</v>
      </c>
      <c r="CS65" s="18">
        <v>51.9</v>
      </c>
      <c r="CT65" s="17">
        <f t="shared" si="63"/>
        <v>6.4082089552238815</v>
      </c>
      <c r="CU65" s="17">
        <f t="shared" si="64"/>
        <v>5.8634328358208956</v>
      </c>
      <c r="CV65" s="30">
        <f t="shared" si="44"/>
        <v>-8.5012227786188532</v>
      </c>
      <c r="CW65" s="19">
        <f t="shared" si="65"/>
        <v>0.73448275862068968</v>
      </c>
      <c r="CX65" s="20">
        <f t="shared" si="66"/>
        <v>0.42511013215859028</v>
      </c>
      <c r="CY65" s="19">
        <f t="shared" si="84"/>
        <v>0.43793103448275861</v>
      </c>
      <c r="CZ65" s="20"/>
      <c r="DA65" s="19">
        <f t="shared" si="74"/>
        <v>7.6071428571428568</v>
      </c>
      <c r="DB65" s="20">
        <f t="shared" si="69"/>
        <v>7.4230769230769234</v>
      </c>
      <c r="DC65" s="19">
        <f t="shared" si="75"/>
        <v>4.5357142857142856</v>
      </c>
      <c r="DD65" s="20"/>
      <c r="DE65" s="19">
        <f t="shared" si="76"/>
        <v>185</v>
      </c>
      <c r="DF65" s="20">
        <f t="shared" si="71"/>
        <v>167</v>
      </c>
      <c r="DG65" s="19" t="s">
        <v>348</v>
      </c>
      <c r="DH65" s="16">
        <v>27.4</v>
      </c>
      <c r="DI65" s="19" t="s">
        <v>349</v>
      </c>
      <c r="DJ65" s="16">
        <v>321.73</v>
      </c>
      <c r="DK65" s="19" t="s">
        <v>350</v>
      </c>
      <c r="DL65" s="16">
        <v>52.82</v>
      </c>
      <c r="DM65" s="30">
        <f t="shared" si="45"/>
        <v>-62.615896383325079</v>
      </c>
      <c r="DN65" s="19">
        <v>1055.9000000000001</v>
      </c>
      <c r="DO65" s="16">
        <v>984.13</v>
      </c>
      <c r="DP65" s="30">
        <f t="shared" si="46"/>
        <v>-6.7970451747324647</v>
      </c>
      <c r="DQ65" s="19" t="s">
        <v>351</v>
      </c>
      <c r="DR65" s="16">
        <v>8.5500000000000007</v>
      </c>
      <c r="DS65" s="30">
        <f t="shared" si="47"/>
        <v>45.904436860068266</v>
      </c>
      <c r="DT65" s="21">
        <v>329.83</v>
      </c>
      <c r="DU65" s="16">
        <v>410.96</v>
      </c>
      <c r="DV65" s="30">
        <f t="shared" si="48"/>
        <v>24.59751993451172</v>
      </c>
      <c r="DW65" s="19">
        <v>1.248</v>
      </c>
      <c r="DX65" s="16">
        <v>0.91200000000000003</v>
      </c>
      <c r="DY65" s="30">
        <f t="shared" si="49"/>
        <v>-26.923076923076923</v>
      </c>
      <c r="DZ65" s="19">
        <v>1950800.6</v>
      </c>
      <c r="EA65" s="16">
        <v>2441883.5499999998</v>
      </c>
      <c r="EB65" s="30">
        <f t="shared" si="50"/>
        <v>25.173405728909437</v>
      </c>
      <c r="EC65" s="19">
        <v>8.5399999999999991</v>
      </c>
      <c r="ED65" s="16">
        <v>5.16</v>
      </c>
      <c r="EE65" s="30">
        <f t="shared" si="51"/>
        <v>-39.578454332552688</v>
      </c>
      <c r="EF65" s="19">
        <f t="shared" si="81"/>
        <v>224.65957446808511</v>
      </c>
      <c r="EG65" s="20">
        <f t="shared" si="82"/>
        <v>175.73750000000001</v>
      </c>
      <c r="EH65" s="16">
        <v>51.73</v>
      </c>
      <c r="EI65" s="16">
        <v>44.42</v>
      </c>
      <c r="EJ65" s="30">
        <f t="shared" si="52"/>
        <v>-14.131065145950117</v>
      </c>
      <c r="EK65" s="16">
        <v>20.93</v>
      </c>
      <c r="EL65" s="16">
        <v>68.45</v>
      </c>
      <c r="EM65" s="30">
        <f t="shared" si="53"/>
        <v>227.04252269469666</v>
      </c>
    </row>
    <row r="66" spans="1:143">
      <c r="A66" s="16">
        <v>78</v>
      </c>
      <c r="B66" s="16">
        <v>2</v>
      </c>
      <c r="C66" s="16">
        <v>1</v>
      </c>
      <c r="D66" s="16">
        <v>35</v>
      </c>
      <c r="E66" s="16">
        <v>2</v>
      </c>
      <c r="F66" s="16"/>
      <c r="G66" s="16">
        <v>1</v>
      </c>
      <c r="H66" s="16">
        <v>1</v>
      </c>
      <c r="I66" s="16">
        <v>111.5</v>
      </c>
      <c r="J66" s="16">
        <v>114.5</v>
      </c>
      <c r="K66" s="30">
        <f t="shared" si="18"/>
        <v>2.6905829596412558</v>
      </c>
      <c r="L66" s="16">
        <v>1.75</v>
      </c>
      <c r="M66" s="16">
        <v>1.75</v>
      </c>
      <c r="N66" s="16">
        <v>36.44</v>
      </c>
      <c r="O66" s="16">
        <v>37.42</v>
      </c>
      <c r="P66" s="30">
        <f t="shared" si="19"/>
        <v>2.6893523600439191</v>
      </c>
      <c r="Q66" s="16">
        <v>110</v>
      </c>
      <c r="R66" s="16">
        <v>113</v>
      </c>
      <c r="S66" s="30">
        <f t="shared" si="20"/>
        <v>2.7272727272727271</v>
      </c>
      <c r="T66" s="16">
        <v>111</v>
      </c>
      <c r="U66" s="16">
        <v>115</v>
      </c>
      <c r="V66" s="30">
        <f t="shared" si="21"/>
        <v>3.6036036036036037</v>
      </c>
      <c r="W66" s="16">
        <v>120</v>
      </c>
      <c r="X66" s="16">
        <v>118</v>
      </c>
      <c r="Y66" s="30">
        <f t="shared" si="22"/>
        <v>-1.6666666666666667</v>
      </c>
      <c r="Z66" s="16">
        <v>135</v>
      </c>
      <c r="AA66" s="16">
        <v>130</v>
      </c>
      <c r="AB66" s="30">
        <f t="shared" si="23"/>
        <v>-3.7037037037037033</v>
      </c>
      <c r="AC66" s="16">
        <v>95</v>
      </c>
      <c r="AD66" s="16">
        <v>80</v>
      </c>
      <c r="AE66" s="30">
        <f t="shared" si="24"/>
        <v>-15.789473684210526</v>
      </c>
      <c r="AF66" s="16">
        <v>31.9</v>
      </c>
      <c r="AG66" s="16">
        <v>30.2</v>
      </c>
      <c r="AH66" s="30">
        <f t="shared" si="25"/>
        <v>-5.329153605015672</v>
      </c>
      <c r="AI66" s="16">
        <v>339</v>
      </c>
      <c r="AJ66" s="16">
        <v>292</v>
      </c>
      <c r="AK66" s="30">
        <f t="shared" si="26"/>
        <v>-13.864306784660767</v>
      </c>
      <c r="AL66" s="16">
        <v>43</v>
      </c>
      <c r="AM66" s="16">
        <v>43</v>
      </c>
      <c r="AN66" s="17">
        <v>86</v>
      </c>
      <c r="AO66" s="18">
        <v>88</v>
      </c>
      <c r="AP66" s="30">
        <f t="shared" si="27"/>
        <v>2.3255813953488373</v>
      </c>
      <c r="AQ66" s="17">
        <v>37</v>
      </c>
      <c r="AR66" s="18">
        <v>33</v>
      </c>
      <c r="AS66" s="30">
        <f t="shared" si="28"/>
        <v>-10.810810810810811</v>
      </c>
      <c r="AT66" s="17">
        <v>1.4</v>
      </c>
      <c r="AU66" s="22">
        <v>1.4</v>
      </c>
      <c r="AV66" s="30">
        <f t="shared" si="29"/>
        <v>0</v>
      </c>
      <c r="AW66" s="17">
        <v>0.75</v>
      </c>
      <c r="AX66" s="22">
        <v>0.94</v>
      </c>
      <c r="AY66" s="30">
        <f t="shared" si="30"/>
        <v>25.333333333333325</v>
      </c>
      <c r="AZ66" s="17">
        <v>0.18</v>
      </c>
      <c r="BA66" s="22">
        <v>0.18</v>
      </c>
      <c r="BB66" s="30">
        <f t="shared" si="31"/>
        <v>0</v>
      </c>
      <c r="BC66" s="17">
        <f t="shared" si="72"/>
        <v>0.57000000000000006</v>
      </c>
      <c r="BD66" s="17">
        <f t="shared" si="32"/>
        <v>0.76</v>
      </c>
      <c r="BE66" s="30">
        <f t="shared" si="33"/>
        <v>33.333333333333321</v>
      </c>
      <c r="BF66" s="17">
        <v>50</v>
      </c>
      <c r="BG66" s="18">
        <v>47</v>
      </c>
      <c r="BH66" s="17">
        <v>45</v>
      </c>
      <c r="BI66" s="18">
        <v>41</v>
      </c>
      <c r="BJ66" s="17">
        <v>57</v>
      </c>
      <c r="BK66" s="18">
        <v>56</v>
      </c>
      <c r="BL66" s="17">
        <v>8</v>
      </c>
      <c r="BM66" s="23">
        <v>9.4</v>
      </c>
      <c r="BN66" s="30">
        <f t="shared" si="34"/>
        <v>17.500000000000004</v>
      </c>
      <c r="BO66" s="17">
        <v>9</v>
      </c>
      <c r="BP66" s="22">
        <v>8.61</v>
      </c>
      <c r="BQ66" s="30">
        <f t="shared" si="35"/>
        <v>-4.3333333333333401</v>
      </c>
      <c r="BR66" s="17">
        <v>4.71</v>
      </c>
      <c r="BS66" s="22">
        <v>4.66</v>
      </c>
      <c r="BT66" s="30">
        <f t="shared" si="36"/>
        <v>-1.061571125265389</v>
      </c>
      <c r="BU66" s="17">
        <f t="shared" si="85"/>
        <v>4.29</v>
      </c>
      <c r="BV66" s="17">
        <f t="shared" si="55"/>
        <v>3.9499999999999993</v>
      </c>
      <c r="BW66" s="30">
        <f t="shared" si="37"/>
        <v>-7.925407925407943</v>
      </c>
      <c r="BX66" s="17">
        <v>289</v>
      </c>
      <c r="BY66" s="18">
        <v>294</v>
      </c>
      <c r="BZ66" s="30">
        <f t="shared" si="38"/>
        <v>1.7301038062283738</v>
      </c>
      <c r="CA66" s="17">
        <v>54</v>
      </c>
      <c r="CB66" s="18">
        <v>50</v>
      </c>
      <c r="CC66" s="30">
        <f t="shared" si="39"/>
        <v>-7.4074074074074066</v>
      </c>
      <c r="CD66" s="17">
        <f t="shared" si="83"/>
        <v>206.2</v>
      </c>
      <c r="CE66" s="17">
        <f t="shared" ref="CE66:CE80" si="86">BY66-(CB66+CH66/5)</f>
        <v>206.8</v>
      </c>
      <c r="CF66" s="30">
        <f t="shared" si="40"/>
        <v>0.29097963142581124</v>
      </c>
      <c r="CG66" s="17">
        <v>144</v>
      </c>
      <c r="CH66" s="18">
        <v>186</v>
      </c>
      <c r="CI66" s="30">
        <f t="shared" si="41"/>
        <v>29.166666666666668</v>
      </c>
      <c r="CJ66" s="17">
        <v>3.8</v>
      </c>
      <c r="CK66" s="23">
        <v>3.1</v>
      </c>
      <c r="CL66" s="30">
        <f t="shared" si="42"/>
        <v>-18.421052631578942</v>
      </c>
      <c r="CM66" s="17">
        <v>11</v>
      </c>
      <c r="CN66" s="18">
        <v>10.4</v>
      </c>
      <c r="CO66" s="30">
        <f t="shared" si="43"/>
        <v>-5.4545454545454515</v>
      </c>
      <c r="CP66" s="17">
        <v>17.899999999999999</v>
      </c>
      <c r="CQ66" s="18">
        <v>31</v>
      </c>
      <c r="CR66" s="17">
        <v>47.2</v>
      </c>
      <c r="CS66" s="18">
        <v>31.1</v>
      </c>
      <c r="CT66" s="17">
        <f t="shared" ref="CT66:CT80" si="87">CM66*AN66/402</f>
        <v>2.3532338308457712</v>
      </c>
      <c r="CU66" s="17">
        <f t="shared" ref="CU66:CU80" si="88">AO66*CN66/402</f>
        <v>2.2766169154228857</v>
      </c>
      <c r="CV66" s="30">
        <f t="shared" si="44"/>
        <v>-3.2558139534883694</v>
      </c>
      <c r="CW66" s="19">
        <f t="shared" ref="CW66:CW80" si="89">BX66/CG66</f>
        <v>2.0069444444444446</v>
      </c>
      <c r="CX66" s="20">
        <f t="shared" ref="CX66:CX80" si="90">BY66/CH66</f>
        <v>1.5806451612903225</v>
      </c>
      <c r="CY66" s="19">
        <f t="shared" si="84"/>
        <v>1.4319444444444445</v>
      </c>
      <c r="CZ66" s="20">
        <f t="shared" ref="CZ66:CZ80" si="91">CE66/CH66</f>
        <v>1.1118279569892473</v>
      </c>
      <c r="DA66" s="19">
        <f t="shared" si="74"/>
        <v>5.3518518518518521</v>
      </c>
      <c r="DB66" s="20">
        <f t="shared" si="69"/>
        <v>5.88</v>
      </c>
      <c r="DC66" s="19">
        <f t="shared" si="75"/>
        <v>3.8185185185185184</v>
      </c>
      <c r="DD66" s="20">
        <f t="shared" si="70"/>
        <v>4.1360000000000001</v>
      </c>
      <c r="DE66" s="19">
        <f t="shared" si="76"/>
        <v>235</v>
      </c>
      <c r="DF66" s="20">
        <f t="shared" si="71"/>
        <v>244</v>
      </c>
      <c r="DG66" s="19" t="s">
        <v>352</v>
      </c>
      <c r="DH66" s="16">
        <v>38.6</v>
      </c>
      <c r="DI66" s="19" t="s">
        <v>353</v>
      </c>
      <c r="DJ66" s="16">
        <v>368.54</v>
      </c>
      <c r="DK66" s="19" t="s">
        <v>354</v>
      </c>
      <c r="DL66" s="16"/>
      <c r="DM66" s="30">
        <f t="shared" ref="DM66:DM80" si="92">(DL66-DK66)/DK66*100</f>
        <v>-100</v>
      </c>
      <c r="DN66" s="19">
        <v>1429.24</v>
      </c>
      <c r="DO66" s="16">
        <v>1328.12</v>
      </c>
      <c r="DP66" s="30">
        <f t="shared" ref="DP66:DP80" si="93">(DO66-DN66)/DN66*100</f>
        <v>-7.0750888584142704</v>
      </c>
      <c r="DQ66" s="19" t="s">
        <v>355</v>
      </c>
      <c r="DR66" s="16">
        <v>9.1199999999999992</v>
      </c>
      <c r="DS66" s="30">
        <f t="shared" ref="DS66:DS80" si="94">(DR66-DQ66)/DQ66*100</f>
        <v>59.44055944055944</v>
      </c>
      <c r="DT66" s="21">
        <v>401.02</v>
      </c>
      <c r="DU66" s="16">
        <v>620.74</v>
      </c>
      <c r="DV66" s="30">
        <f t="shared" ref="DV66:DV80" si="95">(DU66-DT66)/DT66*100</f>
        <v>54.790284773826748</v>
      </c>
      <c r="DW66" s="19">
        <v>0.41299999999999998</v>
      </c>
      <c r="DX66" s="16">
        <v>0.82299999999999995</v>
      </c>
      <c r="DY66" s="30">
        <f t="shared" ref="DY66:DY80" si="96">(DX66-DW66)/DW66*100</f>
        <v>99.27360774818402</v>
      </c>
      <c r="DZ66" s="19">
        <v>1718746.68</v>
      </c>
      <c r="EA66" s="16">
        <v>2415105.4900000002</v>
      </c>
      <c r="EB66" s="30">
        <f t="shared" ref="EB66:EB80" si="97">(EA66-DZ66)/DZ66*100</f>
        <v>40.515499933940255</v>
      </c>
      <c r="EC66" s="19">
        <v>2.77</v>
      </c>
      <c r="ED66" s="16">
        <v>2.2599999999999998</v>
      </c>
      <c r="EE66" s="30">
        <f t="shared" ref="EE66:EE80" si="98">(ED66-EC66)/EC66*100</f>
        <v>-18.411552346570407</v>
      </c>
      <c r="EF66" s="19">
        <f t="shared" si="81"/>
        <v>178.655</v>
      </c>
      <c r="EG66" s="20">
        <f t="shared" si="82"/>
        <v>141.28936170212765</v>
      </c>
      <c r="EH66" s="16">
        <v>45.03</v>
      </c>
      <c r="EI66" s="16">
        <v>56.92</v>
      </c>
      <c r="EJ66" s="30">
        <f t="shared" ref="EJ66:EJ80" si="99">(EI66-EH66)/EH66*100</f>
        <v>26.404619142793695</v>
      </c>
      <c r="EK66" s="16">
        <v>60.1</v>
      </c>
      <c r="EL66" s="16">
        <v>57.76</v>
      </c>
      <c r="EM66" s="30">
        <f t="shared" ref="EM66:EM80" si="100">(EL66-EK66)/EK66*100</f>
        <v>-3.8935108153078262</v>
      </c>
    </row>
    <row r="67" spans="1:143">
      <c r="A67" s="16">
        <v>84</v>
      </c>
      <c r="B67" s="16">
        <v>2</v>
      </c>
      <c r="C67" s="16">
        <v>1</v>
      </c>
      <c r="D67" s="16">
        <v>49</v>
      </c>
      <c r="E67" s="16">
        <v>2</v>
      </c>
      <c r="F67" s="16" t="s">
        <v>356</v>
      </c>
      <c r="G67" s="16">
        <v>1</v>
      </c>
      <c r="H67" s="16">
        <v>1</v>
      </c>
      <c r="I67" s="16">
        <v>152.69999999999999</v>
      </c>
      <c r="J67" s="16">
        <v>154</v>
      </c>
      <c r="K67" s="30">
        <f t="shared" ref="K67:K80" si="101">(J67-I67)/I67*100</f>
        <v>0.8513425016372046</v>
      </c>
      <c r="L67" s="16">
        <v>1.9</v>
      </c>
      <c r="M67" s="16">
        <v>1.9</v>
      </c>
      <c r="N67" s="16">
        <v>42.29</v>
      </c>
      <c r="O67" s="16">
        <v>42.66</v>
      </c>
      <c r="P67" s="30">
        <f t="shared" ref="P67:P80" si="102">(O67-N67)/N67*100</f>
        <v>0.87491132655473502</v>
      </c>
      <c r="Q67" s="16">
        <v>128</v>
      </c>
      <c r="R67" s="16">
        <v>125</v>
      </c>
      <c r="S67" s="30">
        <f t="shared" ref="S67:S80" si="103">(R67-Q67)/Q67*100</f>
        <v>-2.34375</v>
      </c>
      <c r="T67" s="16">
        <v>145</v>
      </c>
      <c r="U67" s="16">
        <v>148</v>
      </c>
      <c r="V67" s="30">
        <f t="shared" ref="V67:V80" si="104">(U67-T67)/T67*100</f>
        <v>2.0689655172413794</v>
      </c>
      <c r="W67" s="16">
        <v>138</v>
      </c>
      <c r="X67" s="16">
        <v>137</v>
      </c>
      <c r="Y67" s="30">
        <f t="shared" ref="Y67:Y80" si="105">(X67-W67)/W67*100</f>
        <v>-0.72463768115942029</v>
      </c>
      <c r="Z67" s="16">
        <v>120</v>
      </c>
      <c r="AA67" s="16">
        <v>120</v>
      </c>
      <c r="AB67" s="30">
        <f t="shared" ref="AB67:AB80" si="106">(AA67-Z67)/Z67*100</f>
        <v>0</v>
      </c>
      <c r="AC67" s="16">
        <v>80</v>
      </c>
      <c r="AD67" s="16">
        <v>80</v>
      </c>
      <c r="AE67" s="30">
        <f t="shared" ref="AE67:AE80" si="107">(AD67-AC67)/AC67*100</f>
        <v>0</v>
      </c>
      <c r="AF67" s="16">
        <v>43.1</v>
      </c>
      <c r="AG67" s="16">
        <v>42.7</v>
      </c>
      <c r="AH67" s="30">
        <f t="shared" ref="AH67:AH80" si="108">(AG67-AF67)/AF67*100</f>
        <v>-0.9280742459396718</v>
      </c>
      <c r="AI67" s="16">
        <v>411</v>
      </c>
      <c r="AJ67" s="16">
        <v>391</v>
      </c>
      <c r="AK67" s="30">
        <f t="shared" ref="AK67:AK80" si="109">(AJ67-AI67)/AI67*100</f>
        <v>-4.8661800486618008</v>
      </c>
      <c r="AL67" s="16">
        <v>49</v>
      </c>
      <c r="AM67" s="16">
        <v>48</v>
      </c>
      <c r="AN67" s="17">
        <v>118</v>
      </c>
      <c r="AO67" s="18">
        <v>118</v>
      </c>
      <c r="AP67" s="30">
        <f t="shared" ref="AP67:AP80" si="110">(AO67-AN67)/AN67*100</f>
        <v>0</v>
      </c>
      <c r="AQ67" s="17">
        <v>39</v>
      </c>
      <c r="AR67" s="18">
        <v>34</v>
      </c>
      <c r="AS67" s="30">
        <f t="shared" ref="AS67:AS80" si="111">(AR67-AQ67)/AQ67*100</f>
        <v>-12.820512820512819</v>
      </c>
      <c r="AT67" s="17">
        <v>1.1499999999999999</v>
      </c>
      <c r="AU67" s="22">
        <v>1.07</v>
      </c>
      <c r="AV67" s="30">
        <f t="shared" ref="AV67:AV80" si="112">(AU67-AT67)/AT67*100</f>
        <v>-6.9565217391304222</v>
      </c>
      <c r="AW67" s="17">
        <v>0.35</v>
      </c>
      <c r="AX67" s="22">
        <v>0.35</v>
      </c>
      <c r="AY67" s="30">
        <f t="shared" ref="AY67:AY80" si="113">(AX67-AW67)/AW67*100</f>
        <v>0</v>
      </c>
      <c r="AZ67" s="17">
        <v>0.09</v>
      </c>
      <c r="BA67" s="22">
        <v>0.12</v>
      </c>
      <c r="BB67" s="30">
        <f t="shared" ref="BB67:BB80" si="114">(BA67-AZ67)/AZ67*100</f>
        <v>33.333333333333329</v>
      </c>
      <c r="BC67" s="17">
        <f t="shared" si="72"/>
        <v>0.26</v>
      </c>
      <c r="BD67" s="17">
        <f t="shared" ref="BD67:BD80" si="115">AX67-BA67</f>
        <v>0.22999999999999998</v>
      </c>
      <c r="BE67" s="30">
        <f t="shared" ref="BE67:BE80" si="116">(BD67-BC67)/BC67*100</f>
        <v>-11.538461538461549</v>
      </c>
      <c r="BF67" s="17">
        <v>25</v>
      </c>
      <c r="BG67" s="18">
        <v>35</v>
      </c>
      <c r="BH67" s="17">
        <v>17</v>
      </c>
      <c r="BI67" s="18">
        <v>26</v>
      </c>
      <c r="BJ67" s="17">
        <v>22</v>
      </c>
      <c r="BK67" s="18">
        <v>30</v>
      </c>
      <c r="BL67" s="17">
        <v>4.7</v>
      </c>
      <c r="BM67" s="23">
        <v>4.8</v>
      </c>
      <c r="BN67" s="30">
        <f t="shared" ref="BN67:BN80" si="117">(BM67-BL67)/BL67*100</f>
        <v>2.1276595744680775</v>
      </c>
      <c r="BO67" s="17">
        <v>7.78</v>
      </c>
      <c r="BP67" s="22">
        <v>7.35</v>
      </c>
      <c r="BQ67" s="30">
        <f t="shared" ref="BQ67:BQ80" si="118">(BP67-BO67)/BO67*100</f>
        <v>-5.5269922879177455</v>
      </c>
      <c r="BR67" s="17">
        <v>4.13</v>
      </c>
      <c r="BS67" s="22">
        <v>4.03</v>
      </c>
      <c r="BT67" s="30">
        <f t="shared" ref="BT67:BT80" si="119">(BS67-BR67)/BR67*100</f>
        <v>-2.4213075060532603</v>
      </c>
      <c r="BU67" s="17">
        <f t="shared" si="85"/>
        <v>3.6500000000000004</v>
      </c>
      <c r="BV67" s="17">
        <f t="shared" si="55"/>
        <v>3.3199999999999994</v>
      </c>
      <c r="BW67" s="30">
        <f t="shared" ref="BW67:BW80" si="120">(BV67-BU67)/BU67*100</f>
        <v>-9.0410958904109844</v>
      </c>
      <c r="BX67" s="17">
        <v>194</v>
      </c>
      <c r="BY67" s="18">
        <v>175</v>
      </c>
      <c r="BZ67" s="30">
        <f t="shared" ref="BZ67:BZ80" si="121">(BY67-BX67)/BX67*100</f>
        <v>-9.7938144329896915</v>
      </c>
      <c r="CA67" s="17">
        <v>41</v>
      </c>
      <c r="CB67" s="18">
        <v>40</v>
      </c>
      <c r="CC67" s="30">
        <f t="shared" ref="CC67:CC80" si="122">(CB67-CA67)/CA67*100</f>
        <v>-2.4390243902439024</v>
      </c>
      <c r="CD67" s="17">
        <f t="shared" si="83"/>
        <v>126.4</v>
      </c>
      <c r="CE67" s="17">
        <f t="shared" si="86"/>
        <v>106</v>
      </c>
      <c r="CF67" s="30">
        <f t="shared" ref="CF67:CF80" si="123">(CE67-CD67)/CD67*100</f>
        <v>-16.139240506329116</v>
      </c>
      <c r="CG67" s="17">
        <v>133</v>
      </c>
      <c r="CH67" s="18">
        <v>145</v>
      </c>
      <c r="CI67" s="30">
        <f t="shared" ref="CI67:CI80" si="124">(CH67-CG67)/CG67*100</f>
        <v>9.0225563909774422</v>
      </c>
      <c r="CJ67" s="17">
        <v>3.5</v>
      </c>
      <c r="CK67" s="23">
        <v>3.3</v>
      </c>
      <c r="CL67" s="30">
        <f t="shared" ref="CL67:CL80" si="125">(CK67-CJ67)/CJ67*100</f>
        <v>-5.7142857142857197</v>
      </c>
      <c r="CM67" s="17">
        <v>44.3</v>
      </c>
      <c r="CN67" s="18">
        <v>39.700000000000003</v>
      </c>
      <c r="CO67" s="30">
        <f t="shared" ref="CO67:CO80" si="126">(CN67-CM67)/CM67*100</f>
        <v>-10.383747178329559</v>
      </c>
      <c r="CP67" s="17">
        <v>23.4</v>
      </c>
      <c r="CQ67" s="18">
        <v>31.5</v>
      </c>
      <c r="CR67" s="17">
        <v>15.2</v>
      </c>
      <c r="CS67" s="18">
        <v>15.8</v>
      </c>
      <c r="CT67" s="17">
        <f t="shared" si="87"/>
        <v>13.003482587064676</v>
      </c>
      <c r="CU67" s="17">
        <f t="shared" si="88"/>
        <v>11.653233830845773</v>
      </c>
      <c r="CV67" s="30">
        <f t="shared" ref="CV67:CV80" si="127">(CU67-CT67)/CT67*100</f>
        <v>-10.383747178329553</v>
      </c>
      <c r="CW67" s="19">
        <f t="shared" si="89"/>
        <v>1.4586466165413534</v>
      </c>
      <c r="CX67" s="20">
        <f t="shared" si="90"/>
        <v>1.2068965517241379</v>
      </c>
      <c r="CY67" s="19">
        <f t="shared" si="84"/>
        <v>0.9503759398496241</v>
      </c>
      <c r="CZ67" s="20">
        <f t="shared" si="91"/>
        <v>0.73103448275862071</v>
      </c>
      <c r="DA67" s="19">
        <f t="shared" si="74"/>
        <v>4.7317073170731705</v>
      </c>
      <c r="DB67" s="20">
        <f t="shared" si="69"/>
        <v>4.375</v>
      </c>
      <c r="DC67" s="19">
        <f t="shared" si="75"/>
        <v>3.0829268292682928</v>
      </c>
      <c r="DD67" s="20">
        <f t="shared" si="70"/>
        <v>2.65</v>
      </c>
      <c r="DE67" s="19">
        <f t="shared" si="76"/>
        <v>153</v>
      </c>
      <c r="DF67" s="20">
        <f t="shared" si="71"/>
        <v>135</v>
      </c>
      <c r="DG67" s="19" t="s">
        <v>357</v>
      </c>
      <c r="DH67" s="16">
        <v>27.8</v>
      </c>
      <c r="DI67" s="19" t="s">
        <v>358</v>
      </c>
      <c r="DJ67" s="16">
        <v>262.77</v>
      </c>
      <c r="DK67" s="19" t="s">
        <v>359</v>
      </c>
      <c r="DL67" s="16">
        <v>88.39</v>
      </c>
      <c r="DM67" s="30">
        <f t="shared" si="92"/>
        <v>-14.359073733165385</v>
      </c>
      <c r="DN67" s="19">
        <v>1157.93</v>
      </c>
      <c r="DO67" s="16">
        <v>790.9</v>
      </c>
      <c r="DP67" s="30">
        <f t="shared" si="93"/>
        <v>-31.697080134377732</v>
      </c>
      <c r="DQ67" s="19" t="s">
        <v>360</v>
      </c>
      <c r="DR67" s="16">
        <v>9.1999999999999993</v>
      </c>
      <c r="DS67" s="30">
        <f t="shared" si="94"/>
        <v>-22.558922558922571</v>
      </c>
      <c r="DT67" s="21">
        <v>314.18</v>
      </c>
      <c r="DU67" s="16">
        <v>425.3</v>
      </c>
      <c r="DV67" s="30">
        <f t="shared" si="95"/>
        <v>35.36826023298746</v>
      </c>
      <c r="DW67" s="19">
        <v>0.60599999999999998</v>
      </c>
      <c r="DX67" s="16">
        <v>0.71899999999999997</v>
      </c>
      <c r="DY67" s="30">
        <f t="shared" si="96"/>
        <v>18.646864686468646</v>
      </c>
      <c r="DZ67" s="19">
        <v>1996051.07</v>
      </c>
      <c r="EA67" s="16">
        <v>918650.46</v>
      </c>
      <c r="EB67" s="30">
        <f t="shared" si="97"/>
        <v>-53.976605418217083</v>
      </c>
      <c r="EC67" s="19">
        <v>2.91</v>
      </c>
      <c r="ED67" s="16">
        <v>0.307</v>
      </c>
      <c r="EE67" s="30">
        <f t="shared" si="98"/>
        <v>-89.450171821305844</v>
      </c>
      <c r="EF67" s="19">
        <f t="shared" si="81"/>
        <v>246.36808510638298</v>
      </c>
      <c r="EG67" s="20">
        <f t="shared" si="82"/>
        <v>164.77083333333334</v>
      </c>
      <c r="EH67" s="16">
        <v>43.57</v>
      </c>
      <c r="EI67" s="16">
        <v>63.62</v>
      </c>
      <c r="EJ67" s="30">
        <f t="shared" si="99"/>
        <v>46.017902226302496</v>
      </c>
      <c r="EK67" s="16">
        <v>72.94</v>
      </c>
      <c r="EL67" s="16">
        <v>42.47</v>
      </c>
      <c r="EM67" s="30">
        <f t="shared" si="100"/>
        <v>-41.774060871949544</v>
      </c>
    </row>
    <row r="68" spans="1:143">
      <c r="A68" s="16">
        <v>87</v>
      </c>
      <c r="B68" s="16">
        <v>2</v>
      </c>
      <c r="C68" s="16">
        <v>1</v>
      </c>
      <c r="D68" s="16">
        <v>51</v>
      </c>
      <c r="E68" s="16">
        <v>1</v>
      </c>
      <c r="F68" s="16" t="s">
        <v>361</v>
      </c>
      <c r="G68" s="16">
        <v>2</v>
      </c>
      <c r="H68" s="16">
        <v>1</v>
      </c>
      <c r="I68" s="16">
        <v>101.9</v>
      </c>
      <c r="J68" s="16">
        <v>103.1</v>
      </c>
      <c r="K68" s="30">
        <f t="shared" si="101"/>
        <v>1.1776251226692724</v>
      </c>
      <c r="L68" s="16">
        <v>1.65</v>
      </c>
      <c r="M68" s="16">
        <v>1.65</v>
      </c>
      <c r="N68" s="16">
        <v>37.46</v>
      </c>
      <c r="O68" s="16">
        <v>37.9</v>
      </c>
      <c r="P68" s="30">
        <f t="shared" si="102"/>
        <v>1.1745862253069881</v>
      </c>
      <c r="Q68" s="16">
        <v>103</v>
      </c>
      <c r="R68" s="16">
        <v>106</v>
      </c>
      <c r="S68" s="30">
        <f t="shared" si="103"/>
        <v>2.912621359223301</v>
      </c>
      <c r="T68" s="16">
        <v>115</v>
      </c>
      <c r="U68" s="16">
        <v>114</v>
      </c>
      <c r="V68" s="30">
        <f t="shared" si="104"/>
        <v>-0.86956521739130432</v>
      </c>
      <c r="W68" s="16">
        <v>116</v>
      </c>
      <c r="X68" s="16">
        <v>121</v>
      </c>
      <c r="Y68" s="30">
        <f t="shared" si="105"/>
        <v>4.3103448275862073</v>
      </c>
      <c r="Z68" s="16">
        <v>170</v>
      </c>
      <c r="AA68" s="16">
        <v>130</v>
      </c>
      <c r="AB68" s="30">
        <f t="shared" si="106"/>
        <v>-23.52941176470588</v>
      </c>
      <c r="AC68" s="16">
        <v>100</v>
      </c>
      <c r="AD68" s="16">
        <v>90</v>
      </c>
      <c r="AE68" s="30">
        <f t="shared" si="107"/>
        <v>-10</v>
      </c>
      <c r="AF68" s="16">
        <v>43.9</v>
      </c>
      <c r="AG68" s="16">
        <v>47.2</v>
      </c>
      <c r="AH68" s="30">
        <f t="shared" si="108"/>
        <v>7.5170842824601474</v>
      </c>
      <c r="AI68" s="16">
        <v>357</v>
      </c>
      <c r="AJ68" s="16">
        <v>430</v>
      </c>
      <c r="AK68" s="30">
        <f t="shared" si="109"/>
        <v>20.448179271708682</v>
      </c>
      <c r="AL68" s="16">
        <v>45</v>
      </c>
      <c r="AM68" s="16">
        <v>46</v>
      </c>
      <c r="AN68" s="17">
        <v>280</v>
      </c>
      <c r="AO68" s="18">
        <v>139</v>
      </c>
      <c r="AP68" s="30">
        <f t="shared" si="110"/>
        <v>-50.357142857142854</v>
      </c>
      <c r="AQ68" s="17">
        <v>14</v>
      </c>
      <c r="AR68" s="18">
        <v>15</v>
      </c>
      <c r="AS68" s="30">
        <f t="shared" si="111"/>
        <v>7.1428571428571423</v>
      </c>
      <c r="AT68" s="17">
        <v>0.76</v>
      </c>
      <c r="AU68" s="22">
        <v>0.72</v>
      </c>
      <c r="AV68" s="30">
        <f t="shared" si="112"/>
        <v>-5.2631578947368469</v>
      </c>
      <c r="AW68" s="17">
        <v>0.59</v>
      </c>
      <c r="AX68" s="22">
        <v>0.36</v>
      </c>
      <c r="AY68" s="30">
        <f t="shared" si="113"/>
        <v>-38.983050847457626</v>
      </c>
      <c r="AZ68" s="17">
        <v>0.12</v>
      </c>
      <c r="BA68" s="22">
        <v>0.1</v>
      </c>
      <c r="BB68" s="30">
        <f t="shared" si="114"/>
        <v>-16.666666666666661</v>
      </c>
      <c r="BC68" s="17">
        <f t="shared" si="72"/>
        <v>0.47</v>
      </c>
      <c r="BD68" s="17">
        <f t="shared" si="115"/>
        <v>0.26</v>
      </c>
      <c r="BE68" s="30">
        <f t="shared" si="116"/>
        <v>-44.680851063829778</v>
      </c>
      <c r="BF68" s="17">
        <v>37</v>
      </c>
      <c r="BG68" s="18">
        <v>41</v>
      </c>
      <c r="BH68" s="17">
        <v>16</v>
      </c>
      <c r="BI68" s="18">
        <v>20</v>
      </c>
      <c r="BJ68" s="17">
        <v>22</v>
      </c>
      <c r="BK68" s="18">
        <v>21</v>
      </c>
      <c r="BL68" s="17">
        <v>4.7</v>
      </c>
      <c r="BM68" s="23">
        <v>4.8</v>
      </c>
      <c r="BN68" s="30">
        <f t="shared" si="117"/>
        <v>2.1276595744680775</v>
      </c>
      <c r="BO68" s="17">
        <v>7.47</v>
      </c>
      <c r="BP68" s="22">
        <v>7.22</v>
      </c>
      <c r="BQ68" s="30">
        <f t="shared" si="118"/>
        <v>-3.3467202141900936</v>
      </c>
      <c r="BR68" s="17">
        <v>3.67</v>
      </c>
      <c r="BS68" s="22">
        <v>3.68</v>
      </c>
      <c r="BT68" s="30">
        <f t="shared" si="119"/>
        <v>0.27247956403270385</v>
      </c>
      <c r="BU68" s="17">
        <f t="shared" si="85"/>
        <v>3.8</v>
      </c>
      <c r="BV68" s="17">
        <f t="shared" si="55"/>
        <v>3.5399999999999996</v>
      </c>
      <c r="BW68" s="30">
        <f t="shared" si="120"/>
        <v>-6.8421052631579009</v>
      </c>
      <c r="BX68" s="17">
        <v>245</v>
      </c>
      <c r="BY68" s="18">
        <v>188</v>
      </c>
      <c r="BZ68" s="30">
        <f t="shared" si="121"/>
        <v>-23.26530612244898</v>
      </c>
      <c r="CA68" s="17">
        <v>47</v>
      </c>
      <c r="CB68" s="18">
        <v>49</v>
      </c>
      <c r="CC68" s="30">
        <f t="shared" si="122"/>
        <v>4.2553191489361701</v>
      </c>
      <c r="CD68" s="17">
        <f t="shared" si="83"/>
        <v>162.4</v>
      </c>
      <c r="CE68" s="17">
        <f t="shared" si="86"/>
        <v>110.4</v>
      </c>
      <c r="CF68" s="30">
        <f t="shared" si="123"/>
        <v>-32.019704433497537</v>
      </c>
      <c r="CG68" s="17">
        <v>178</v>
      </c>
      <c r="CH68" s="18">
        <v>143</v>
      </c>
      <c r="CI68" s="30">
        <f t="shared" si="124"/>
        <v>-19.662921348314608</v>
      </c>
      <c r="CJ68" s="17">
        <v>2.8</v>
      </c>
      <c r="CK68" s="32">
        <v>2.8</v>
      </c>
      <c r="CL68" s="30">
        <f t="shared" si="125"/>
        <v>0</v>
      </c>
      <c r="CM68" s="17">
        <v>16.2</v>
      </c>
      <c r="CN68" s="18">
        <v>34.799999999999997</v>
      </c>
      <c r="CO68" s="30">
        <f t="shared" si="126"/>
        <v>114.81481481481481</v>
      </c>
      <c r="CP68" s="17">
        <v>14</v>
      </c>
      <c r="CQ68" s="18">
        <v>53.4</v>
      </c>
      <c r="CR68" s="17">
        <v>65.3</v>
      </c>
      <c r="CS68" s="18">
        <v>66.2</v>
      </c>
      <c r="CT68" s="17">
        <f t="shared" si="87"/>
        <v>11.283582089552239</v>
      </c>
      <c r="CU68" s="17">
        <f t="shared" si="88"/>
        <v>12.032835820895523</v>
      </c>
      <c r="CV68" s="30">
        <f t="shared" si="127"/>
        <v>6.6402116402116445</v>
      </c>
      <c r="CW68" s="19">
        <f t="shared" si="89"/>
        <v>1.3764044943820224</v>
      </c>
      <c r="CX68" s="20">
        <f t="shared" si="90"/>
        <v>1.3146853146853146</v>
      </c>
      <c r="CY68" s="19">
        <f t="shared" si="84"/>
        <v>0.91235955056179774</v>
      </c>
      <c r="CZ68" s="20">
        <f t="shared" si="91"/>
        <v>0.77202797202797202</v>
      </c>
      <c r="DA68" s="19">
        <f t="shared" si="74"/>
        <v>5.2127659574468082</v>
      </c>
      <c r="DB68" s="20">
        <f t="shared" si="69"/>
        <v>3.8367346938775508</v>
      </c>
      <c r="DC68" s="19">
        <f t="shared" si="75"/>
        <v>3.4553191489361703</v>
      </c>
      <c r="DD68" s="20">
        <f t="shared" si="70"/>
        <v>2.2530612244897958</v>
      </c>
      <c r="DE68" s="19">
        <f t="shared" si="76"/>
        <v>198</v>
      </c>
      <c r="DF68" s="20">
        <f t="shared" si="71"/>
        <v>139</v>
      </c>
      <c r="DG68" s="19" t="s">
        <v>362</v>
      </c>
      <c r="DH68" s="16">
        <v>26</v>
      </c>
      <c r="DI68" s="19" t="s">
        <v>363</v>
      </c>
      <c r="DJ68" s="16">
        <v>274.38</v>
      </c>
      <c r="DK68" s="19" t="s">
        <v>364</v>
      </c>
      <c r="DL68" s="16">
        <v>100.29</v>
      </c>
      <c r="DM68" s="30">
        <f t="shared" si="92"/>
        <v>-14.820791574656011</v>
      </c>
      <c r="DN68" s="19">
        <v>1016.37</v>
      </c>
      <c r="DO68" s="16">
        <v>755.42</v>
      </c>
      <c r="DP68" s="30">
        <f t="shared" si="93"/>
        <v>-25.674705077875188</v>
      </c>
      <c r="DQ68" s="19" t="s">
        <v>365</v>
      </c>
      <c r="DR68" s="16">
        <v>11.37</v>
      </c>
      <c r="DS68" s="30">
        <f t="shared" si="94"/>
        <v>65.261627906976742</v>
      </c>
      <c r="DT68" s="21">
        <v>615.1</v>
      </c>
      <c r="DU68" s="16">
        <v>577.38</v>
      </c>
      <c r="DV68" s="30">
        <f t="shared" si="95"/>
        <v>-6.1323362054950454</v>
      </c>
      <c r="DW68" s="19">
        <v>0.54400000000000004</v>
      </c>
      <c r="DX68" s="16">
        <v>0.42799999999999999</v>
      </c>
      <c r="DY68" s="30">
        <f t="shared" si="96"/>
        <v>-21.323529411764714</v>
      </c>
      <c r="DZ68" s="19">
        <v>1324211.6399999999</v>
      </c>
      <c r="EA68" s="16">
        <v>829724.27</v>
      </c>
      <c r="EB68" s="30">
        <f t="shared" si="97"/>
        <v>-37.342019588349181</v>
      </c>
      <c r="EC68" s="19">
        <v>2.09</v>
      </c>
      <c r="ED68" s="16">
        <v>2.09</v>
      </c>
      <c r="EE68" s="30">
        <f t="shared" si="98"/>
        <v>0</v>
      </c>
      <c r="EF68" s="19">
        <f t="shared" si="81"/>
        <v>216.24893617021277</v>
      </c>
      <c r="EG68" s="20">
        <f t="shared" si="82"/>
        <v>157.37916666666666</v>
      </c>
      <c r="EH68" s="16">
        <v>41.87</v>
      </c>
      <c r="EI68" s="16">
        <v>34.950000000000003</v>
      </c>
      <c r="EJ68" s="30">
        <f t="shared" si="99"/>
        <v>-16.527346548841638</v>
      </c>
      <c r="EK68" s="16">
        <v>66.599999999999994</v>
      </c>
      <c r="EL68" s="16">
        <v>20.53</v>
      </c>
      <c r="EM68" s="30">
        <f t="shared" si="100"/>
        <v>-69.174174174174169</v>
      </c>
    </row>
    <row r="69" spans="1:143">
      <c r="A69" s="16">
        <v>89</v>
      </c>
      <c r="B69" s="16">
        <v>2</v>
      </c>
      <c r="C69" s="16">
        <v>1</v>
      </c>
      <c r="D69" s="16">
        <v>38</v>
      </c>
      <c r="E69" s="16">
        <v>1</v>
      </c>
      <c r="F69" s="16" t="s">
        <v>366</v>
      </c>
      <c r="G69" s="16">
        <v>2</v>
      </c>
      <c r="H69" s="16">
        <v>1</v>
      </c>
      <c r="I69" s="16">
        <v>71.5</v>
      </c>
      <c r="J69" s="16">
        <v>71.900000000000006</v>
      </c>
      <c r="K69" s="30">
        <f t="shared" si="101"/>
        <v>0.55944055944056736</v>
      </c>
      <c r="L69" s="16">
        <v>1.62</v>
      </c>
      <c r="M69" s="16">
        <v>1.62</v>
      </c>
      <c r="N69" s="16">
        <v>27.24</v>
      </c>
      <c r="O69" s="16">
        <v>27.44</v>
      </c>
      <c r="P69" s="30">
        <f t="shared" si="102"/>
        <v>0.73421439060206628</v>
      </c>
      <c r="Q69" s="16">
        <v>83</v>
      </c>
      <c r="R69" s="16">
        <v>86</v>
      </c>
      <c r="S69" s="30">
        <f t="shared" si="103"/>
        <v>3.6144578313253009</v>
      </c>
      <c r="T69" s="16">
        <v>90</v>
      </c>
      <c r="U69" s="16">
        <v>96</v>
      </c>
      <c r="V69" s="30">
        <f t="shared" si="104"/>
        <v>6.666666666666667</v>
      </c>
      <c r="W69" s="16">
        <v>98</v>
      </c>
      <c r="X69" s="16">
        <v>100</v>
      </c>
      <c r="Y69" s="30">
        <f t="shared" si="105"/>
        <v>2.0408163265306123</v>
      </c>
      <c r="Z69" s="16">
        <v>110</v>
      </c>
      <c r="AA69" s="16">
        <v>100</v>
      </c>
      <c r="AB69" s="30">
        <f t="shared" si="106"/>
        <v>-9.0909090909090917</v>
      </c>
      <c r="AC69" s="16">
        <v>85</v>
      </c>
      <c r="AD69" s="16">
        <v>70</v>
      </c>
      <c r="AE69" s="30">
        <f t="shared" si="107"/>
        <v>-17.647058823529413</v>
      </c>
      <c r="AF69" s="16">
        <v>27.8</v>
      </c>
      <c r="AG69" s="16">
        <v>29.3</v>
      </c>
      <c r="AH69" s="30">
        <f t="shared" si="108"/>
        <v>5.3956834532374103</v>
      </c>
      <c r="AI69" s="16">
        <v>417</v>
      </c>
      <c r="AJ69" s="16">
        <v>405</v>
      </c>
      <c r="AK69" s="30">
        <f t="shared" si="109"/>
        <v>-2.877697841726619</v>
      </c>
      <c r="AL69" s="16">
        <v>31</v>
      </c>
      <c r="AM69" s="16">
        <v>31</v>
      </c>
      <c r="AN69" s="17">
        <v>88</v>
      </c>
      <c r="AO69" s="18">
        <v>88</v>
      </c>
      <c r="AP69" s="30">
        <f t="shared" si="110"/>
        <v>0</v>
      </c>
      <c r="AQ69" s="17">
        <v>25</v>
      </c>
      <c r="AR69" s="18">
        <v>22</v>
      </c>
      <c r="AS69" s="30">
        <f t="shared" si="111"/>
        <v>-12</v>
      </c>
      <c r="AT69" s="17">
        <v>0.89</v>
      </c>
      <c r="AU69" s="22">
        <v>0.88</v>
      </c>
      <c r="AV69" s="30">
        <f t="shared" si="112"/>
        <v>-1.1235955056179785</v>
      </c>
      <c r="AW69" s="17">
        <v>1.72</v>
      </c>
      <c r="AX69" s="22">
        <v>2.25</v>
      </c>
      <c r="AY69" s="30">
        <f t="shared" si="113"/>
        <v>30.813953488372096</v>
      </c>
      <c r="AZ69" s="17">
        <v>0.26</v>
      </c>
      <c r="BA69" s="22">
        <v>0.32</v>
      </c>
      <c r="BB69" s="30">
        <f t="shared" si="114"/>
        <v>23.076923076923077</v>
      </c>
      <c r="BC69" s="17">
        <f t="shared" si="72"/>
        <v>1.46</v>
      </c>
      <c r="BD69" s="17">
        <f t="shared" si="115"/>
        <v>1.93</v>
      </c>
      <c r="BE69" s="30">
        <f t="shared" si="116"/>
        <v>32.19178082191781</v>
      </c>
      <c r="BF69" s="17">
        <v>35</v>
      </c>
      <c r="BG69" s="18">
        <v>34</v>
      </c>
      <c r="BH69" s="17">
        <v>11</v>
      </c>
      <c r="BI69" s="18">
        <v>15</v>
      </c>
      <c r="BJ69" s="17">
        <v>21</v>
      </c>
      <c r="BK69" s="18">
        <v>19</v>
      </c>
      <c r="BL69" s="17">
        <v>3.5</v>
      </c>
      <c r="BM69" s="23">
        <v>3.5</v>
      </c>
      <c r="BN69" s="30">
        <f t="shared" si="117"/>
        <v>0</v>
      </c>
      <c r="BO69" s="17">
        <v>7.92</v>
      </c>
      <c r="BP69" s="22">
        <v>7.11</v>
      </c>
      <c r="BQ69" s="30">
        <f t="shared" si="118"/>
        <v>-10.227272727272723</v>
      </c>
      <c r="BR69" s="17">
        <v>4.08</v>
      </c>
      <c r="BS69" s="22">
        <v>3.93</v>
      </c>
      <c r="BT69" s="30">
        <f t="shared" si="119"/>
        <v>-3.6764705882352922</v>
      </c>
      <c r="BU69" s="17">
        <f t="shared" si="85"/>
        <v>3.84</v>
      </c>
      <c r="BV69" s="17">
        <f t="shared" si="55"/>
        <v>3.18</v>
      </c>
      <c r="BW69" s="30">
        <f t="shared" si="120"/>
        <v>-17.187499999999993</v>
      </c>
      <c r="BX69" s="17">
        <v>213</v>
      </c>
      <c r="BY69" s="18">
        <v>187</v>
      </c>
      <c r="BZ69" s="30">
        <f t="shared" si="121"/>
        <v>-12.206572769953052</v>
      </c>
      <c r="CA69" s="17">
        <v>61</v>
      </c>
      <c r="CB69" s="18">
        <v>57</v>
      </c>
      <c r="CC69" s="30">
        <f t="shared" si="122"/>
        <v>-6.557377049180328</v>
      </c>
      <c r="CD69" s="17">
        <f t="shared" si="83"/>
        <v>131.6</v>
      </c>
      <c r="CE69" s="17">
        <f t="shared" si="86"/>
        <v>117.8</v>
      </c>
      <c r="CF69" s="30">
        <f t="shared" si="123"/>
        <v>-10.486322188449847</v>
      </c>
      <c r="CG69" s="17">
        <v>102</v>
      </c>
      <c r="CH69" s="18">
        <v>61</v>
      </c>
      <c r="CI69" s="30">
        <f t="shared" si="124"/>
        <v>-40.196078431372548</v>
      </c>
      <c r="CJ69" s="17">
        <v>4</v>
      </c>
      <c r="CK69" s="23">
        <v>3</v>
      </c>
      <c r="CL69" s="30">
        <f t="shared" si="125"/>
        <v>-25</v>
      </c>
      <c r="CM69" s="17">
        <v>7.3</v>
      </c>
      <c r="CN69" s="18">
        <v>8.6</v>
      </c>
      <c r="CO69" s="30">
        <f t="shared" si="126"/>
        <v>17.80821917808219</v>
      </c>
      <c r="CP69" s="17">
        <v>21.4</v>
      </c>
      <c r="CQ69" s="18">
        <v>47.1</v>
      </c>
      <c r="CR69" s="17">
        <v>27.2</v>
      </c>
      <c r="CS69" s="18">
        <v>24.1</v>
      </c>
      <c r="CT69" s="17">
        <f t="shared" si="87"/>
        <v>1.5980099502487561</v>
      </c>
      <c r="CU69" s="17">
        <f t="shared" si="88"/>
        <v>1.8825870646766167</v>
      </c>
      <c r="CV69" s="30">
        <f t="shared" si="127"/>
        <v>17.808219178082187</v>
      </c>
      <c r="CW69" s="19">
        <f t="shared" si="89"/>
        <v>2.0882352941176472</v>
      </c>
      <c r="CX69" s="20">
        <f t="shared" si="90"/>
        <v>3.0655737704918034</v>
      </c>
      <c r="CY69" s="19">
        <f t="shared" si="84"/>
        <v>1.2901960784313724</v>
      </c>
      <c r="CZ69" s="20">
        <f t="shared" si="91"/>
        <v>1.9311475409836065</v>
      </c>
      <c r="DA69" s="19">
        <f t="shared" si="74"/>
        <v>3.4918032786885247</v>
      </c>
      <c r="DB69" s="20">
        <f t="shared" si="69"/>
        <v>3.2807017543859649</v>
      </c>
      <c r="DC69" s="19">
        <f t="shared" si="75"/>
        <v>2.1573770491803277</v>
      </c>
      <c r="DD69" s="20">
        <f t="shared" si="70"/>
        <v>2.0666666666666664</v>
      </c>
      <c r="DE69" s="19">
        <f t="shared" si="76"/>
        <v>152</v>
      </c>
      <c r="DF69" s="20">
        <f t="shared" si="71"/>
        <v>130</v>
      </c>
      <c r="DG69" s="19" t="s">
        <v>367</v>
      </c>
      <c r="DH69" s="16">
        <v>29.3</v>
      </c>
      <c r="DI69" s="19" t="s">
        <v>368</v>
      </c>
      <c r="DJ69" s="16">
        <v>329.1</v>
      </c>
      <c r="DK69" s="19" t="s">
        <v>369</v>
      </c>
      <c r="DL69" s="16">
        <v>56.82</v>
      </c>
      <c r="DM69" s="30">
        <f t="shared" si="92"/>
        <v>-34.44854637748039</v>
      </c>
      <c r="DN69" s="19">
        <v>899.45</v>
      </c>
      <c r="DO69" s="16">
        <v>769.09</v>
      </c>
      <c r="DP69" s="30">
        <f t="shared" si="93"/>
        <v>-14.49330146200456</v>
      </c>
      <c r="DQ69" s="19" t="s">
        <v>370</v>
      </c>
      <c r="DR69" s="16">
        <v>5.52</v>
      </c>
      <c r="DS69" s="30">
        <f t="shared" si="94"/>
        <v>-18.942731277533042</v>
      </c>
      <c r="DT69" s="21">
        <v>437.12</v>
      </c>
      <c r="DU69" s="16">
        <v>502.68</v>
      </c>
      <c r="DV69" s="30">
        <f t="shared" si="95"/>
        <v>14.998169838945827</v>
      </c>
      <c r="DW69" s="19">
        <v>0.374</v>
      </c>
      <c r="DX69" s="16">
        <v>0.43099999999999999</v>
      </c>
      <c r="DY69" s="30">
        <f t="shared" si="96"/>
        <v>15.240641711229946</v>
      </c>
      <c r="DZ69" s="19">
        <v>1248168.46</v>
      </c>
      <c r="EA69" s="16">
        <v>815944.61</v>
      </c>
      <c r="EB69" s="30">
        <f t="shared" si="97"/>
        <v>-34.628647001703598</v>
      </c>
      <c r="EC69" s="19">
        <v>1.58</v>
      </c>
      <c r="ED69" s="16">
        <v>2.2599999999999998</v>
      </c>
      <c r="EE69" s="30">
        <f t="shared" si="98"/>
        <v>43.037974683544284</v>
      </c>
      <c r="EF69" s="19">
        <f t="shared" si="81"/>
        <v>256.98571428571432</v>
      </c>
      <c r="EG69" s="20">
        <f t="shared" si="82"/>
        <v>219.74</v>
      </c>
      <c r="EH69" s="16">
        <v>52.71</v>
      </c>
      <c r="EI69" s="16">
        <v>35.299999999999997</v>
      </c>
      <c r="EJ69" s="30">
        <f t="shared" si="99"/>
        <v>-33.029785619427059</v>
      </c>
      <c r="EK69" s="16">
        <v>64.010000000000005</v>
      </c>
      <c r="EL69" s="16">
        <v>4.6500000000000004</v>
      </c>
      <c r="EM69" s="30">
        <f t="shared" si="100"/>
        <v>-92.73551007655054</v>
      </c>
    </row>
    <row r="70" spans="1:143">
      <c r="A70" s="16">
        <v>91</v>
      </c>
      <c r="B70" s="16">
        <v>2</v>
      </c>
      <c r="C70" s="16">
        <v>1</v>
      </c>
      <c r="D70" s="16">
        <v>57</v>
      </c>
      <c r="E70" s="16">
        <v>1</v>
      </c>
      <c r="F70" s="16" t="s">
        <v>371</v>
      </c>
      <c r="G70" s="16">
        <v>2</v>
      </c>
      <c r="H70" s="16">
        <v>1</v>
      </c>
      <c r="I70" s="16">
        <v>96.8</v>
      </c>
      <c r="J70" s="16">
        <v>95.1</v>
      </c>
      <c r="K70" s="30">
        <f t="shared" si="101"/>
        <v>-1.7561983471074409</v>
      </c>
      <c r="L70" s="16">
        <v>1.67</v>
      </c>
      <c r="M70" s="16">
        <v>1.67</v>
      </c>
      <c r="N70" s="16">
        <v>34.799999999999997</v>
      </c>
      <c r="O70" s="16">
        <v>34.090000000000003</v>
      </c>
      <c r="P70" s="30">
        <f t="shared" si="102"/>
        <v>-2.0402298850574532</v>
      </c>
      <c r="Q70" s="16">
        <v>93</v>
      </c>
      <c r="R70" s="16">
        <v>99</v>
      </c>
      <c r="S70" s="30">
        <f t="shared" si="103"/>
        <v>6.4516129032258061</v>
      </c>
      <c r="T70" s="16">
        <v>106</v>
      </c>
      <c r="U70" s="16">
        <v>107</v>
      </c>
      <c r="V70" s="30">
        <f t="shared" si="104"/>
        <v>0.94339622641509435</v>
      </c>
      <c r="W70" s="16">
        <v>119</v>
      </c>
      <c r="X70" s="16">
        <v>121</v>
      </c>
      <c r="Y70" s="30">
        <f t="shared" si="105"/>
        <v>1.680672268907563</v>
      </c>
      <c r="Z70" s="16">
        <v>140</v>
      </c>
      <c r="AA70" s="16">
        <v>140</v>
      </c>
      <c r="AB70" s="30">
        <f t="shared" si="106"/>
        <v>0</v>
      </c>
      <c r="AC70" s="16">
        <v>90</v>
      </c>
      <c r="AD70" s="16">
        <v>90</v>
      </c>
      <c r="AE70" s="30">
        <f t="shared" si="107"/>
        <v>0</v>
      </c>
      <c r="AF70" s="16">
        <v>43.5</v>
      </c>
      <c r="AG70" s="16">
        <v>45.6</v>
      </c>
      <c r="AH70" s="30">
        <f t="shared" si="108"/>
        <v>4.8275862068965552</v>
      </c>
      <c r="AI70" s="16">
        <v>408</v>
      </c>
      <c r="AJ70" s="16">
        <v>480</v>
      </c>
      <c r="AK70" s="30">
        <f t="shared" si="109"/>
        <v>17.647058823529413</v>
      </c>
      <c r="AL70" s="16">
        <v>44</v>
      </c>
      <c r="AM70" s="16">
        <v>45</v>
      </c>
      <c r="AN70" s="25">
        <v>113</v>
      </c>
      <c r="AO70" s="18">
        <v>116</v>
      </c>
      <c r="AP70" s="30">
        <f t="shared" si="110"/>
        <v>2.6548672566371683</v>
      </c>
      <c r="AQ70" s="25">
        <v>36</v>
      </c>
      <c r="AR70" s="18">
        <v>37</v>
      </c>
      <c r="AS70" s="30">
        <f t="shared" si="111"/>
        <v>2.7777777777777777</v>
      </c>
      <c r="AT70" s="25">
        <v>0.7</v>
      </c>
      <c r="AU70" s="22">
        <v>0.63</v>
      </c>
      <c r="AV70" s="30">
        <f t="shared" si="112"/>
        <v>-9.9999999999999929</v>
      </c>
      <c r="AW70" s="25">
        <v>0.84</v>
      </c>
      <c r="AX70" s="22">
        <v>0.83</v>
      </c>
      <c r="AY70" s="30">
        <f t="shared" si="113"/>
        <v>-1.1904761904761916</v>
      </c>
      <c r="AZ70" s="25">
        <v>0.17</v>
      </c>
      <c r="BA70" s="22">
        <v>0.15</v>
      </c>
      <c r="BB70" s="30">
        <f t="shared" si="114"/>
        <v>-11.764705882352951</v>
      </c>
      <c r="BC70" s="25">
        <f t="shared" si="72"/>
        <v>0.66999999999999993</v>
      </c>
      <c r="BD70" s="17">
        <f t="shared" si="115"/>
        <v>0.67999999999999994</v>
      </c>
      <c r="BE70" s="30">
        <f t="shared" si="116"/>
        <v>1.4925373134328375</v>
      </c>
      <c r="BF70" s="25">
        <v>53</v>
      </c>
      <c r="BG70" s="18">
        <v>55</v>
      </c>
      <c r="BH70" s="25">
        <v>15</v>
      </c>
      <c r="BI70" s="18">
        <v>16</v>
      </c>
      <c r="BJ70" s="25">
        <v>44</v>
      </c>
      <c r="BK70" s="18">
        <v>36</v>
      </c>
      <c r="BL70" s="25">
        <v>6.4</v>
      </c>
      <c r="BM70" s="23">
        <v>7.1</v>
      </c>
      <c r="BN70" s="30">
        <f t="shared" si="117"/>
        <v>10.937499999999989</v>
      </c>
      <c r="BO70" s="25">
        <v>7.2</v>
      </c>
      <c r="BP70" s="22">
        <v>7.06</v>
      </c>
      <c r="BQ70" s="30">
        <f t="shared" si="118"/>
        <v>-1.9444444444444524</v>
      </c>
      <c r="BR70" s="25">
        <v>3.81</v>
      </c>
      <c r="BS70" s="22">
        <v>3.86</v>
      </c>
      <c r="BT70" s="30">
        <f t="shared" si="119"/>
        <v>1.3123359580052447</v>
      </c>
      <c r="BU70" s="25">
        <f>BO70-BR70</f>
        <v>3.39</v>
      </c>
      <c r="BV70" s="17">
        <f t="shared" si="55"/>
        <v>3.1999999999999997</v>
      </c>
      <c r="BW70" s="30">
        <f t="shared" si="120"/>
        <v>-5.6047197640118105</v>
      </c>
      <c r="BX70" s="25">
        <v>164</v>
      </c>
      <c r="BY70" s="18">
        <v>165</v>
      </c>
      <c r="BZ70" s="30">
        <f t="shared" si="121"/>
        <v>0.6097560975609756</v>
      </c>
      <c r="CA70" s="25">
        <v>41</v>
      </c>
      <c r="CB70" s="18">
        <v>44</v>
      </c>
      <c r="CC70" s="30">
        <f t="shared" si="122"/>
        <v>7.3170731707317067</v>
      </c>
      <c r="CD70" s="25">
        <f t="shared" si="83"/>
        <v>73</v>
      </c>
      <c r="CE70" s="17">
        <f t="shared" si="86"/>
        <v>69.400000000000006</v>
      </c>
      <c r="CF70" s="30">
        <f t="shared" si="123"/>
        <v>-4.9315068493150607</v>
      </c>
      <c r="CG70" s="25">
        <v>250</v>
      </c>
      <c r="CH70" s="18">
        <v>258</v>
      </c>
      <c r="CI70" s="30">
        <f t="shared" si="124"/>
        <v>3.2</v>
      </c>
      <c r="CJ70" s="25">
        <v>2.9</v>
      </c>
      <c r="CK70" s="23">
        <v>1.7</v>
      </c>
      <c r="CL70" s="30">
        <f t="shared" si="125"/>
        <v>-41.379310344827587</v>
      </c>
      <c r="CM70" s="25">
        <v>23.8</v>
      </c>
      <c r="CN70" s="18">
        <v>27.9</v>
      </c>
      <c r="CO70" s="30">
        <f t="shared" si="126"/>
        <v>17.226890756302513</v>
      </c>
      <c r="CP70" s="25">
        <v>8.1</v>
      </c>
      <c r="CQ70" s="18">
        <v>46.5</v>
      </c>
      <c r="CR70" s="25">
        <v>87.7</v>
      </c>
      <c r="CS70" s="18">
        <v>68</v>
      </c>
      <c r="CT70" s="17">
        <f t="shared" si="87"/>
        <v>6.6900497512437811</v>
      </c>
      <c r="CU70" s="17">
        <f t="shared" si="88"/>
        <v>8.0507462686567148</v>
      </c>
      <c r="CV70" s="30">
        <f t="shared" si="127"/>
        <v>20.339109094965398</v>
      </c>
      <c r="CW70" s="19">
        <f t="shared" si="89"/>
        <v>0.65600000000000003</v>
      </c>
      <c r="CX70" s="20">
        <f t="shared" si="90"/>
        <v>0.63953488372093026</v>
      </c>
      <c r="CY70" s="19">
        <f t="shared" si="84"/>
        <v>0.29199999999999998</v>
      </c>
      <c r="CZ70" s="20">
        <f t="shared" si="91"/>
        <v>0.26899224806201555</v>
      </c>
      <c r="DA70" s="19">
        <f t="shared" si="74"/>
        <v>4</v>
      </c>
      <c r="DB70" s="20">
        <f t="shared" si="69"/>
        <v>3.75</v>
      </c>
      <c r="DC70" s="19">
        <f t="shared" si="75"/>
        <v>1.7804878048780488</v>
      </c>
      <c r="DD70" s="20">
        <f t="shared" si="70"/>
        <v>1.5772727272727274</v>
      </c>
      <c r="DE70" s="19">
        <f t="shared" si="76"/>
        <v>123</v>
      </c>
      <c r="DF70" s="20">
        <f t="shared" si="71"/>
        <v>121</v>
      </c>
      <c r="DG70" s="19" t="s">
        <v>234</v>
      </c>
      <c r="DH70" s="16">
        <v>29.7</v>
      </c>
      <c r="DI70" s="19" t="s">
        <v>372</v>
      </c>
      <c r="DJ70" s="16">
        <v>243.28</v>
      </c>
      <c r="DK70" s="19" t="s">
        <v>373</v>
      </c>
      <c r="DL70" s="16">
        <v>178.72</v>
      </c>
      <c r="DM70" s="30">
        <f t="shared" si="92"/>
        <v>36.032881717156343</v>
      </c>
      <c r="DN70" s="19">
        <v>926.48</v>
      </c>
      <c r="DO70" s="19">
        <v>926.48</v>
      </c>
      <c r="DP70" s="30">
        <f t="shared" si="93"/>
        <v>0</v>
      </c>
      <c r="DQ70" s="19" t="s">
        <v>374</v>
      </c>
      <c r="DR70" s="16">
        <v>8.9499999999999993</v>
      </c>
      <c r="DS70" s="30">
        <f t="shared" si="94"/>
        <v>-30.566330488750975</v>
      </c>
      <c r="DT70" s="21"/>
      <c r="DU70" s="16">
        <v>451.17</v>
      </c>
      <c r="DV70" s="30" t="e">
        <f t="shared" si="95"/>
        <v>#DIV/0!</v>
      </c>
      <c r="DW70" s="19">
        <v>0.33900000000000002</v>
      </c>
      <c r="DX70" s="16">
        <v>0.85299999999999998</v>
      </c>
      <c r="DY70" s="30">
        <f t="shared" si="96"/>
        <v>151.62241887905603</v>
      </c>
      <c r="DZ70" s="19">
        <v>1790413.11</v>
      </c>
      <c r="EA70" s="16">
        <v>1200466.1200000001</v>
      </c>
      <c r="EB70" s="30">
        <f t="shared" si="97"/>
        <v>-32.950327871537979</v>
      </c>
      <c r="EC70" s="19">
        <v>1.23</v>
      </c>
      <c r="ED70" s="16">
        <v>3.5000000000000003E-2</v>
      </c>
      <c r="EE70" s="30">
        <f t="shared" si="98"/>
        <v>-97.154471544715449</v>
      </c>
      <c r="EF70" s="19">
        <f t="shared" si="81"/>
        <v>144.76249999999999</v>
      </c>
      <c r="EG70" s="20"/>
      <c r="EH70" s="16">
        <v>50.98</v>
      </c>
      <c r="EI70" s="16">
        <v>34.71</v>
      </c>
      <c r="EJ70" s="30">
        <f t="shared" si="99"/>
        <v>-31.914476265202037</v>
      </c>
      <c r="EK70" s="16">
        <v>86.79</v>
      </c>
      <c r="EL70" s="16">
        <v>48.91</v>
      </c>
      <c r="EM70" s="30">
        <f t="shared" si="100"/>
        <v>-43.645581288166845</v>
      </c>
    </row>
    <row r="71" spans="1:143">
      <c r="A71" s="16">
        <v>96</v>
      </c>
      <c r="B71" s="16">
        <v>2</v>
      </c>
      <c r="C71" s="16">
        <v>1</v>
      </c>
      <c r="D71" s="16">
        <v>44</v>
      </c>
      <c r="E71" s="16">
        <v>2</v>
      </c>
      <c r="F71" s="16" t="s">
        <v>375</v>
      </c>
      <c r="G71" s="16">
        <v>2</v>
      </c>
      <c r="H71" s="16">
        <v>1</v>
      </c>
      <c r="I71" s="16">
        <v>130.69999999999999</v>
      </c>
      <c r="J71" s="16">
        <v>126.8</v>
      </c>
      <c r="K71" s="30">
        <f t="shared" si="101"/>
        <v>-2.983932670237178</v>
      </c>
      <c r="L71" s="16">
        <v>1.74</v>
      </c>
      <c r="M71" s="16">
        <v>1.74</v>
      </c>
      <c r="N71" s="16">
        <v>43.14</v>
      </c>
      <c r="O71" s="16">
        <v>41.85</v>
      </c>
      <c r="P71" s="30">
        <f t="shared" si="102"/>
        <v>-2.9902642559109855</v>
      </c>
      <c r="Q71" s="16">
        <v>127</v>
      </c>
      <c r="R71" s="16">
        <v>126</v>
      </c>
      <c r="S71" s="30">
        <f t="shared" si="103"/>
        <v>-0.78740157480314954</v>
      </c>
      <c r="T71" s="16">
        <v>134</v>
      </c>
      <c r="U71" s="16">
        <v>130</v>
      </c>
      <c r="V71" s="30">
        <f t="shared" si="104"/>
        <v>-2.9850746268656714</v>
      </c>
      <c r="W71" s="16">
        <v>129</v>
      </c>
      <c r="X71" s="16">
        <v>129</v>
      </c>
      <c r="Y71" s="30">
        <f t="shared" si="105"/>
        <v>0</v>
      </c>
      <c r="Z71" s="16">
        <v>120</v>
      </c>
      <c r="AA71" s="16">
        <v>110</v>
      </c>
      <c r="AB71" s="30">
        <f t="shared" si="106"/>
        <v>-8.3333333333333321</v>
      </c>
      <c r="AC71" s="16">
        <v>85</v>
      </c>
      <c r="AD71" s="16">
        <v>80</v>
      </c>
      <c r="AE71" s="30">
        <f t="shared" si="107"/>
        <v>-5.8823529411764701</v>
      </c>
      <c r="AF71" s="16">
        <v>36.299999999999997</v>
      </c>
      <c r="AG71" s="16">
        <v>34.6</v>
      </c>
      <c r="AH71" s="30">
        <f t="shared" si="108"/>
        <v>-4.6831955922864896</v>
      </c>
      <c r="AI71" s="16">
        <v>289</v>
      </c>
      <c r="AJ71" s="16">
        <v>284</v>
      </c>
      <c r="AK71" s="30">
        <f t="shared" si="109"/>
        <v>-1.7301038062283738</v>
      </c>
      <c r="AL71" s="16">
        <v>47</v>
      </c>
      <c r="AM71" s="16">
        <v>47</v>
      </c>
      <c r="AN71" s="17">
        <v>145</v>
      </c>
      <c r="AO71" s="18">
        <v>129</v>
      </c>
      <c r="AP71" s="30">
        <f t="shared" si="110"/>
        <v>-11.03448275862069</v>
      </c>
      <c r="AQ71" s="17">
        <v>19</v>
      </c>
      <c r="AR71" s="18">
        <v>30</v>
      </c>
      <c r="AS71" s="30">
        <f t="shared" si="111"/>
        <v>57.894736842105267</v>
      </c>
      <c r="AT71" s="17">
        <v>1.03</v>
      </c>
      <c r="AU71" s="22">
        <v>0.89</v>
      </c>
      <c r="AV71" s="30">
        <f t="shared" si="112"/>
        <v>-13.592233009708741</v>
      </c>
      <c r="AW71" s="17">
        <v>0.53</v>
      </c>
      <c r="AX71" s="22">
        <v>0.68</v>
      </c>
      <c r="AY71" s="30">
        <f t="shared" si="113"/>
        <v>28.301886792452834</v>
      </c>
      <c r="AZ71" s="17">
        <v>0.13</v>
      </c>
      <c r="BA71" s="22">
        <v>0.15</v>
      </c>
      <c r="BB71" s="30">
        <f t="shared" si="114"/>
        <v>15.384615384615378</v>
      </c>
      <c r="BC71" s="17">
        <f t="shared" si="72"/>
        <v>0.4</v>
      </c>
      <c r="BD71" s="17">
        <f t="shared" si="115"/>
        <v>0.53</v>
      </c>
      <c r="BE71" s="30">
        <f t="shared" si="116"/>
        <v>32.5</v>
      </c>
      <c r="BF71" s="17">
        <v>81</v>
      </c>
      <c r="BG71" s="18">
        <v>68</v>
      </c>
      <c r="BH71" s="17">
        <v>24</v>
      </c>
      <c r="BI71" s="18">
        <v>19</v>
      </c>
      <c r="BJ71" s="17">
        <v>41</v>
      </c>
      <c r="BK71" s="18">
        <v>42</v>
      </c>
      <c r="BL71" s="17">
        <v>6.5</v>
      </c>
      <c r="BM71" s="23">
        <v>5.6</v>
      </c>
      <c r="BN71" s="30">
        <f t="shared" si="117"/>
        <v>-13.846153846153852</v>
      </c>
      <c r="BO71" s="17">
        <v>8.4600000000000009</v>
      </c>
      <c r="BP71" s="22">
        <v>7.95</v>
      </c>
      <c r="BQ71" s="30">
        <f t="shared" si="118"/>
        <v>-6.0283687943262487</v>
      </c>
      <c r="BR71" s="17">
        <v>4.12</v>
      </c>
      <c r="BS71" s="22">
        <v>4.1500000000000004</v>
      </c>
      <c r="BT71" s="30">
        <f t="shared" si="119"/>
        <v>0.72815533980583125</v>
      </c>
      <c r="BU71" s="17">
        <f t="shared" si="85"/>
        <v>4.3400000000000007</v>
      </c>
      <c r="BV71" s="17">
        <f t="shared" si="55"/>
        <v>3.8</v>
      </c>
      <c r="BW71" s="30">
        <f t="shared" si="120"/>
        <v>-12.442396313364075</v>
      </c>
      <c r="BX71" s="17">
        <v>245</v>
      </c>
      <c r="BY71" s="18">
        <v>165</v>
      </c>
      <c r="BZ71" s="30">
        <f t="shared" si="121"/>
        <v>-32.653061224489797</v>
      </c>
      <c r="CA71" s="17">
        <v>35</v>
      </c>
      <c r="CB71" s="18">
        <v>45</v>
      </c>
      <c r="CC71" s="30">
        <f t="shared" si="122"/>
        <v>28.571428571428569</v>
      </c>
      <c r="CD71" s="17">
        <f t="shared" si="83"/>
        <v>132</v>
      </c>
      <c r="CE71" s="17">
        <f t="shared" si="86"/>
        <v>86.6</v>
      </c>
      <c r="CF71" s="30">
        <f t="shared" si="123"/>
        <v>-34.393939393939398</v>
      </c>
      <c r="CG71" s="17">
        <v>390</v>
      </c>
      <c r="CH71" s="18">
        <v>167</v>
      </c>
      <c r="CI71" s="30">
        <f t="shared" si="124"/>
        <v>-57.179487179487175</v>
      </c>
      <c r="CJ71" s="17">
        <v>4.3</v>
      </c>
      <c r="CK71" s="23">
        <v>4.4000000000000004</v>
      </c>
      <c r="CL71" s="30">
        <f t="shared" si="125"/>
        <v>2.3255813953488498</v>
      </c>
      <c r="CM71" s="17">
        <v>24.7</v>
      </c>
      <c r="CN71" s="18">
        <v>13.3</v>
      </c>
      <c r="CO71" s="30">
        <f t="shared" si="126"/>
        <v>-46.153846153846153</v>
      </c>
      <c r="CP71" s="17">
        <v>25.7</v>
      </c>
      <c r="CQ71" s="18">
        <v>50.3</v>
      </c>
      <c r="CR71" s="17">
        <v>41</v>
      </c>
      <c r="CS71" s="18">
        <v>53.6</v>
      </c>
      <c r="CT71" s="17">
        <f t="shared" si="87"/>
        <v>8.9092039800995018</v>
      </c>
      <c r="CU71" s="17">
        <f t="shared" si="88"/>
        <v>4.267910447761194</v>
      </c>
      <c r="CV71" s="30">
        <f t="shared" si="127"/>
        <v>-52.095490716180372</v>
      </c>
      <c r="CW71" s="19">
        <f t="shared" si="89"/>
        <v>0.62820512820512819</v>
      </c>
      <c r="CX71" s="20">
        <f t="shared" si="90"/>
        <v>0.9880239520958084</v>
      </c>
      <c r="CY71" s="19">
        <f t="shared" si="84"/>
        <v>0.33846153846153848</v>
      </c>
      <c r="CZ71" s="20">
        <f t="shared" si="91"/>
        <v>0.51856287425149694</v>
      </c>
      <c r="DA71" s="19">
        <f t="shared" si="74"/>
        <v>7</v>
      </c>
      <c r="DB71" s="20">
        <f t="shared" si="69"/>
        <v>3.6666666666666665</v>
      </c>
      <c r="DC71" s="19">
        <f t="shared" si="75"/>
        <v>3.7714285714285714</v>
      </c>
      <c r="DD71" s="20">
        <f t="shared" si="70"/>
        <v>1.9244444444444444</v>
      </c>
      <c r="DE71" s="19">
        <f t="shared" si="76"/>
        <v>210</v>
      </c>
      <c r="DF71" s="20">
        <f t="shared" si="71"/>
        <v>120</v>
      </c>
      <c r="DG71" s="19" t="s">
        <v>376</v>
      </c>
      <c r="DH71" s="16">
        <v>34.5</v>
      </c>
      <c r="DI71" s="19" t="s">
        <v>377</v>
      </c>
      <c r="DJ71" s="16">
        <v>379.88</v>
      </c>
      <c r="DK71" s="19" t="s">
        <v>378</v>
      </c>
      <c r="DL71" s="16">
        <v>114.13</v>
      </c>
      <c r="DM71" s="30">
        <f t="shared" si="92"/>
        <v>-60.962511971541936</v>
      </c>
      <c r="DN71" s="19">
        <v>1372.55</v>
      </c>
      <c r="DO71" s="16">
        <v>1036.72</v>
      </c>
      <c r="DP71" s="30">
        <f t="shared" si="93"/>
        <v>-24.467596808859419</v>
      </c>
      <c r="DQ71" s="19" t="s">
        <v>379</v>
      </c>
      <c r="DR71" s="16">
        <v>5.87</v>
      </c>
      <c r="DS71" s="30">
        <f t="shared" si="94"/>
        <v>-33.522083805209512</v>
      </c>
      <c r="DT71" s="21">
        <v>387.76</v>
      </c>
      <c r="DU71" s="16">
        <v>458.53</v>
      </c>
      <c r="DV71" s="30">
        <f t="shared" si="95"/>
        <v>18.250979987621204</v>
      </c>
      <c r="DW71" s="19">
        <v>0.41299999999999998</v>
      </c>
      <c r="DX71" s="16">
        <v>0.36799999999999999</v>
      </c>
      <c r="DY71" s="30">
        <f t="shared" si="96"/>
        <v>-10.895883777239707</v>
      </c>
      <c r="DZ71" s="19">
        <v>1567343.79</v>
      </c>
      <c r="EA71" s="16">
        <v>1071028.3500000001</v>
      </c>
      <c r="EB71" s="30">
        <f t="shared" si="97"/>
        <v>-31.666022679044776</v>
      </c>
      <c r="EC71" s="19">
        <v>17.260000000000002</v>
      </c>
      <c r="ED71" s="16">
        <v>12.92</v>
      </c>
      <c r="EE71" s="30">
        <f t="shared" si="98"/>
        <v>-25.144843568945547</v>
      </c>
      <c r="EF71" s="19">
        <f t="shared" si="81"/>
        <v>211.16153846153844</v>
      </c>
      <c r="EG71" s="20">
        <f>DO71/BM71</f>
        <v>185.12857142857143</v>
      </c>
      <c r="EH71" s="16">
        <v>47.75</v>
      </c>
      <c r="EI71" s="16">
        <v>36.19</v>
      </c>
      <c r="EJ71" s="30">
        <f t="shared" si="99"/>
        <v>-24.209424083769637</v>
      </c>
      <c r="EK71" s="16">
        <v>37.19</v>
      </c>
      <c r="EL71" s="16">
        <v>72.53</v>
      </c>
      <c r="EM71" s="30">
        <f t="shared" si="100"/>
        <v>95.025544501210007</v>
      </c>
    </row>
    <row r="72" spans="1:143">
      <c r="A72" s="16">
        <v>97</v>
      </c>
      <c r="B72" s="16">
        <v>2</v>
      </c>
      <c r="C72" s="16">
        <v>2</v>
      </c>
      <c r="D72" s="16">
        <v>45</v>
      </c>
      <c r="E72" s="16">
        <v>1</v>
      </c>
      <c r="F72" s="16" t="s">
        <v>380</v>
      </c>
      <c r="G72" s="16">
        <v>2</v>
      </c>
      <c r="H72" s="16">
        <v>1</v>
      </c>
      <c r="I72" s="16">
        <v>102.3</v>
      </c>
      <c r="J72" s="16">
        <v>104.7</v>
      </c>
      <c r="K72" s="30">
        <f t="shared" si="101"/>
        <v>2.3460410557184805</v>
      </c>
      <c r="L72" s="16">
        <v>1.65</v>
      </c>
      <c r="M72" s="16">
        <v>1.65</v>
      </c>
      <c r="N72" s="16">
        <v>37.57</v>
      </c>
      <c r="O72" s="16">
        <v>38.49</v>
      </c>
      <c r="P72" s="30">
        <f t="shared" si="102"/>
        <v>2.4487623103540104</v>
      </c>
      <c r="Q72" s="16">
        <v>104</v>
      </c>
      <c r="R72" s="16">
        <v>107</v>
      </c>
      <c r="S72" s="30">
        <f t="shared" si="103"/>
        <v>2.8846153846153846</v>
      </c>
      <c r="T72" s="16">
        <v>120</v>
      </c>
      <c r="U72" s="16">
        <v>122</v>
      </c>
      <c r="V72" s="30">
        <f t="shared" si="104"/>
        <v>1.6666666666666667</v>
      </c>
      <c r="W72" s="16">
        <v>131</v>
      </c>
      <c r="X72" s="16">
        <v>129</v>
      </c>
      <c r="Y72" s="30">
        <f t="shared" si="105"/>
        <v>-1.5267175572519083</v>
      </c>
      <c r="Z72" s="16">
        <v>125</v>
      </c>
      <c r="AA72" s="16">
        <v>130</v>
      </c>
      <c r="AB72" s="30">
        <f t="shared" si="106"/>
        <v>4</v>
      </c>
      <c r="AC72" s="16">
        <v>85</v>
      </c>
      <c r="AD72" s="16">
        <v>80</v>
      </c>
      <c r="AE72" s="30">
        <f t="shared" si="107"/>
        <v>-5.8823529411764701</v>
      </c>
      <c r="AF72" s="16">
        <v>45.3</v>
      </c>
      <c r="AG72" s="16">
        <v>47.5</v>
      </c>
      <c r="AH72" s="30">
        <f t="shared" si="108"/>
        <v>4.8565121412803602</v>
      </c>
      <c r="AI72" s="16">
        <v>408</v>
      </c>
      <c r="AJ72" s="16">
        <v>443</v>
      </c>
      <c r="AK72" s="30">
        <f t="shared" si="109"/>
        <v>8.5784313725490193</v>
      </c>
      <c r="AL72" s="16">
        <v>46</v>
      </c>
      <c r="AM72" s="16">
        <v>47</v>
      </c>
      <c r="AN72" s="17">
        <v>111</v>
      </c>
      <c r="AO72" s="18">
        <v>124</v>
      </c>
      <c r="AP72" s="30">
        <f t="shared" si="110"/>
        <v>11.711711711711711</v>
      </c>
      <c r="AQ72" s="17">
        <v>28</v>
      </c>
      <c r="AR72" s="18">
        <v>26</v>
      </c>
      <c r="AS72" s="30">
        <f t="shared" si="111"/>
        <v>-7.1428571428571423</v>
      </c>
      <c r="AT72" s="17">
        <v>0.85</v>
      </c>
      <c r="AU72" s="22">
        <v>0.68</v>
      </c>
      <c r="AV72" s="30">
        <f t="shared" si="112"/>
        <v>-19.999999999999993</v>
      </c>
      <c r="AW72" s="17">
        <v>0.41</v>
      </c>
      <c r="AX72" s="22">
        <v>0.39</v>
      </c>
      <c r="AY72" s="30">
        <f t="shared" si="113"/>
        <v>-4.8780487804877959</v>
      </c>
      <c r="AZ72" s="17">
        <v>7.0000000000000007E-2</v>
      </c>
      <c r="BA72" s="22">
        <v>0.09</v>
      </c>
      <c r="BB72" s="30">
        <f t="shared" si="114"/>
        <v>28.571428571428552</v>
      </c>
      <c r="BC72" s="17">
        <f t="shared" si="72"/>
        <v>0.33999999999999997</v>
      </c>
      <c r="BD72" s="17">
        <f t="shared" si="115"/>
        <v>0.30000000000000004</v>
      </c>
      <c r="BE72" s="30">
        <f t="shared" si="116"/>
        <v>-11.764705882352921</v>
      </c>
      <c r="BF72" s="17">
        <v>36</v>
      </c>
      <c r="BG72" s="18">
        <v>35</v>
      </c>
      <c r="BH72" s="17">
        <v>13</v>
      </c>
      <c r="BI72" s="18">
        <v>18</v>
      </c>
      <c r="BJ72" s="17">
        <v>21</v>
      </c>
      <c r="BK72" s="18">
        <v>28</v>
      </c>
      <c r="BL72" s="17">
        <v>4.4000000000000004</v>
      </c>
      <c r="BM72" s="23">
        <v>4.2</v>
      </c>
      <c r="BN72" s="30">
        <f t="shared" si="117"/>
        <v>-4.5454545454545494</v>
      </c>
      <c r="BO72" s="17">
        <v>7.6</v>
      </c>
      <c r="BP72" s="22">
        <v>6.92</v>
      </c>
      <c r="BQ72" s="30">
        <f t="shared" si="118"/>
        <v>-8.9473684210526283</v>
      </c>
      <c r="BR72" s="17">
        <v>3.77</v>
      </c>
      <c r="BS72" s="22">
        <v>3.58</v>
      </c>
      <c r="BT72" s="30">
        <f t="shared" si="119"/>
        <v>-5.0397877984084865</v>
      </c>
      <c r="BU72" s="17">
        <f t="shared" si="85"/>
        <v>3.8299999999999996</v>
      </c>
      <c r="BV72" s="17">
        <f t="shared" si="55"/>
        <v>3.34</v>
      </c>
      <c r="BW72" s="30">
        <f t="shared" si="120"/>
        <v>-12.793733681462136</v>
      </c>
      <c r="BX72" s="17">
        <v>218</v>
      </c>
      <c r="BY72" s="18">
        <v>199</v>
      </c>
      <c r="BZ72" s="30">
        <f t="shared" si="121"/>
        <v>-8.7155963302752291</v>
      </c>
      <c r="CA72" s="17">
        <v>33</v>
      </c>
      <c r="CB72" s="18">
        <v>39</v>
      </c>
      <c r="CC72" s="30">
        <f t="shared" si="122"/>
        <v>18.181818181818183</v>
      </c>
      <c r="CD72" s="17">
        <f t="shared" si="83"/>
        <v>160.80000000000001</v>
      </c>
      <c r="CE72" s="17">
        <f t="shared" si="86"/>
        <v>137</v>
      </c>
      <c r="CF72" s="30">
        <f t="shared" si="123"/>
        <v>-14.800995024875627</v>
      </c>
      <c r="CG72" s="17">
        <v>121</v>
      </c>
      <c r="CH72" s="18">
        <v>115</v>
      </c>
      <c r="CI72" s="30">
        <f t="shared" si="124"/>
        <v>-4.9586776859504136</v>
      </c>
      <c r="CJ72" s="17">
        <v>10.6</v>
      </c>
      <c r="CK72" s="23">
        <v>12.8</v>
      </c>
      <c r="CL72" s="30">
        <f t="shared" si="125"/>
        <v>20.754716981132088</v>
      </c>
      <c r="CM72" s="17">
        <v>12.1</v>
      </c>
      <c r="CN72" s="18">
        <v>12.4</v>
      </c>
      <c r="CO72" s="30">
        <f t="shared" si="126"/>
        <v>2.4793388429752126</v>
      </c>
      <c r="CP72" s="17">
        <v>23.6</v>
      </c>
      <c r="CQ72" s="18">
        <v>51</v>
      </c>
      <c r="CR72" s="17">
        <v>36.299999999999997</v>
      </c>
      <c r="CS72" s="18">
        <v>44</v>
      </c>
      <c r="CT72" s="17">
        <f t="shared" si="87"/>
        <v>3.3410447761194026</v>
      </c>
      <c r="CU72" s="17">
        <f t="shared" si="88"/>
        <v>3.8248756218905475</v>
      </c>
      <c r="CV72" s="30">
        <f t="shared" si="127"/>
        <v>14.481423572332682</v>
      </c>
      <c r="CW72" s="19">
        <f t="shared" si="89"/>
        <v>1.8016528925619835</v>
      </c>
      <c r="CX72" s="20">
        <f t="shared" si="90"/>
        <v>1.7304347826086957</v>
      </c>
      <c r="CY72" s="19">
        <f t="shared" si="84"/>
        <v>1.3289256198347108</v>
      </c>
      <c r="CZ72" s="20">
        <f t="shared" si="91"/>
        <v>1.191304347826087</v>
      </c>
      <c r="DA72" s="19">
        <f t="shared" si="74"/>
        <v>6.6060606060606064</v>
      </c>
      <c r="DB72" s="20">
        <f t="shared" si="69"/>
        <v>5.1025641025641022</v>
      </c>
      <c r="DC72" s="19">
        <f t="shared" si="75"/>
        <v>4.872727272727273</v>
      </c>
      <c r="DD72" s="20">
        <f t="shared" si="70"/>
        <v>3.5128205128205128</v>
      </c>
      <c r="DE72" s="19">
        <f t="shared" si="76"/>
        <v>185</v>
      </c>
      <c r="DF72" s="20">
        <f t="shared" si="71"/>
        <v>160</v>
      </c>
      <c r="DG72" s="19" t="s">
        <v>381</v>
      </c>
      <c r="DH72" s="16"/>
      <c r="DI72" s="19" t="s">
        <v>382</v>
      </c>
      <c r="DJ72" s="16">
        <v>262.95999999999998</v>
      </c>
      <c r="DK72" s="19" t="s">
        <v>383</v>
      </c>
      <c r="DL72" s="16">
        <v>46.3</v>
      </c>
      <c r="DM72" s="30">
        <f t="shared" si="92"/>
        <v>-45.803581879901685</v>
      </c>
      <c r="DN72" s="19">
        <v>1151.3800000000001</v>
      </c>
      <c r="DO72" s="16">
        <v>801.17</v>
      </c>
      <c r="DP72" s="30">
        <f t="shared" si="93"/>
        <v>-30.416543625909785</v>
      </c>
      <c r="DQ72" s="19" t="s">
        <v>312</v>
      </c>
      <c r="DR72" s="16">
        <v>6.86</v>
      </c>
      <c r="DS72" s="30">
        <f t="shared" si="94"/>
        <v>-3.3802816901408357</v>
      </c>
      <c r="DT72" s="21">
        <v>288.27</v>
      </c>
      <c r="DU72" s="16">
        <v>320.70999999999998</v>
      </c>
      <c r="DV72" s="30">
        <f t="shared" si="95"/>
        <v>11.253338883685434</v>
      </c>
      <c r="DW72" s="19">
        <v>0.52600000000000002</v>
      </c>
      <c r="DX72" s="16">
        <v>0.217</v>
      </c>
      <c r="DY72" s="30">
        <f t="shared" si="96"/>
        <v>-58.745247148288982</v>
      </c>
      <c r="DZ72" s="19">
        <v>1533636.77</v>
      </c>
      <c r="EA72" s="16">
        <v>825268.06</v>
      </c>
      <c r="EB72" s="30">
        <f t="shared" si="97"/>
        <v>-46.188818881800806</v>
      </c>
      <c r="EC72" s="19">
        <v>3.79</v>
      </c>
      <c r="ED72" s="16"/>
      <c r="EE72" s="30">
        <f t="shared" si="98"/>
        <v>-100</v>
      </c>
      <c r="EF72" s="19">
        <f t="shared" si="81"/>
        <v>261.67727272727274</v>
      </c>
      <c r="EG72" s="20">
        <f>DO72/BM72</f>
        <v>190.75476190476189</v>
      </c>
      <c r="EH72" s="16">
        <v>38.35</v>
      </c>
      <c r="EI72" s="16">
        <v>37.25</v>
      </c>
      <c r="EJ72" s="30">
        <f t="shared" si="99"/>
        <v>-2.8683181225554142</v>
      </c>
      <c r="EK72" s="16">
        <v>43.94</v>
      </c>
      <c r="EL72" s="16">
        <v>43.94</v>
      </c>
      <c r="EM72" s="30">
        <f t="shared" si="100"/>
        <v>0</v>
      </c>
    </row>
    <row r="73" spans="1:143">
      <c r="A73" s="16">
        <v>103</v>
      </c>
      <c r="B73" s="16">
        <v>2</v>
      </c>
      <c r="C73" s="16">
        <v>1</v>
      </c>
      <c r="D73" s="16">
        <v>43</v>
      </c>
      <c r="E73" s="16">
        <v>1</v>
      </c>
      <c r="F73" s="16" t="s">
        <v>384</v>
      </c>
      <c r="G73" s="16">
        <v>2</v>
      </c>
      <c r="H73" s="16">
        <v>1</v>
      </c>
      <c r="I73" s="16">
        <v>101.8</v>
      </c>
      <c r="J73" s="16">
        <v>103.7</v>
      </c>
      <c r="K73" s="30">
        <f t="shared" si="101"/>
        <v>1.866404715127707</v>
      </c>
      <c r="L73" s="16">
        <v>1.59</v>
      </c>
      <c r="M73" s="16">
        <v>1.59</v>
      </c>
      <c r="N73" s="16">
        <v>40.47</v>
      </c>
      <c r="O73" s="16">
        <v>41.15</v>
      </c>
      <c r="P73" s="30">
        <f t="shared" si="102"/>
        <v>1.680256980479367</v>
      </c>
      <c r="Q73" s="16">
        <v>97</v>
      </c>
      <c r="R73" s="16">
        <v>97</v>
      </c>
      <c r="S73" s="30">
        <f t="shared" si="103"/>
        <v>0</v>
      </c>
      <c r="T73" s="16">
        <v>124</v>
      </c>
      <c r="U73" s="16">
        <v>125</v>
      </c>
      <c r="V73" s="30">
        <f t="shared" si="104"/>
        <v>0.80645161290322576</v>
      </c>
      <c r="W73" s="16">
        <v>130</v>
      </c>
      <c r="X73" s="16">
        <v>133</v>
      </c>
      <c r="Y73" s="30">
        <f t="shared" si="105"/>
        <v>2.3076923076923079</v>
      </c>
      <c r="Z73" s="16">
        <v>125</v>
      </c>
      <c r="AA73" s="16">
        <v>130</v>
      </c>
      <c r="AB73" s="30">
        <f t="shared" si="106"/>
        <v>4</v>
      </c>
      <c r="AC73" s="16">
        <v>95</v>
      </c>
      <c r="AD73" s="16">
        <v>100</v>
      </c>
      <c r="AE73" s="30">
        <f t="shared" si="107"/>
        <v>5.2631578947368416</v>
      </c>
      <c r="AF73" s="16">
        <v>32.200000000000003</v>
      </c>
      <c r="AG73" s="16">
        <v>35.200000000000003</v>
      </c>
      <c r="AH73" s="30">
        <f t="shared" si="108"/>
        <v>9.316770186335404</v>
      </c>
      <c r="AI73" s="16">
        <v>406</v>
      </c>
      <c r="AJ73" s="16">
        <v>485</v>
      </c>
      <c r="AK73" s="30">
        <f t="shared" si="109"/>
        <v>19.458128078817737</v>
      </c>
      <c r="AL73" s="16">
        <v>47</v>
      </c>
      <c r="AM73" s="16">
        <v>48</v>
      </c>
      <c r="AN73" s="25">
        <v>93</v>
      </c>
      <c r="AO73" s="18">
        <v>107</v>
      </c>
      <c r="AP73" s="30">
        <f t="shared" si="110"/>
        <v>15.053763440860216</v>
      </c>
      <c r="AQ73" s="25">
        <v>31</v>
      </c>
      <c r="AR73" s="18">
        <v>32</v>
      </c>
      <c r="AS73" s="30">
        <f t="shared" si="111"/>
        <v>3.225806451612903</v>
      </c>
      <c r="AT73" s="25">
        <v>0.57999999999999996</v>
      </c>
      <c r="AU73" s="22">
        <v>0.62</v>
      </c>
      <c r="AV73" s="30">
        <f t="shared" si="112"/>
        <v>6.8965517241379377</v>
      </c>
      <c r="AW73" s="25">
        <v>0.28999999999999998</v>
      </c>
      <c r="AX73" s="22">
        <v>0.28999999999999998</v>
      </c>
      <c r="AY73" s="30">
        <f t="shared" si="113"/>
        <v>0</v>
      </c>
      <c r="AZ73" s="25">
        <v>0.08</v>
      </c>
      <c r="BA73" s="22">
        <v>7.0000000000000007E-2</v>
      </c>
      <c r="BB73" s="30">
        <f t="shared" si="114"/>
        <v>-12.499999999999993</v>
      </c>
      <c r="BC73" s="25">
        <f t="shared" si="72"/>
        <v>0.20999999999999996</v>
      </c>
      <c r="BD73" s="17">
        <f t="shared" si="115"/>
        <v>0.21999999999999997</v>
      </c>
      <c r="BE73" s="30">
        <f t="shared" si="116"/>
        <v>4.7619047619047672</v>
      </c>
      <c r="BF73" s="25">
        <v>28</v>
      </c>
      <c r="BG73" s="18">
        <v>32</v>
      </c>
      <c r="BH73" s="25">
        <v>12</v>
      </c>
      <c r="BI73" s="18">
        <v>19</v>
      </c>
      <c r="BJ73" s="25">
        <v>29</v>
      </c>
      <c r="BK73" s="18">
        <v>34</v>
      </c>
      <c r="BL73" s="25">
        <v>4</v>
      </c>
      <c r="BM73" s="23">
        <v>4.7</v>
      </c>
      <c r="BN73" s="30">
        <f t="shared" si="117"/>
        <v>17.500000000000004</v>
      </c>
      <c r="BO73" s="25">
        <v>7.87</v>
      </c>
      <c r="BP73" s="22">
        <v>7.57</v>
      </c>
      <c r="BQ73" s="30">
        <f t="shared" si="118"/>
        <v>-3.811944091486656</v>
      </c>
      <c r="BR73" s="25">
        <v>3.44</v>
      </c>
      <c r="BS73" s="22">
        <v>3.44</v>
      </c>
      <c r="BT73" s="30">
        <f t="shared" si="119"/>
        <v>0</v>
      </c>
      <c r="BU73" s="25">
        <f t="shared" si="85"/>
        <v>4.43</v>
      </c>
      <c r="BV73" s="17">
        <f t="shared" si="55"/>
        <v>4.1300000000000008</v>
      </c>
      <c r="BW73" s="30">
        <f t="shared" si="120"/>
        <v>-6.7720090293453499</v>
      </c>
      <c r="BX73" s="25">
        <v>210</v>
      </c>
      <c r="BY73" s="18">
        <v>223</v>
      </c>
      <c r="BZ73" s="30">
        <f t="shared" si="121"/>
        <v>6.1904761904761907</v>
      </c>
      <c r="CA73" s="25">
        <v>45</v>
      </c>
      <c r="CB73" s="18">
        <v>50</v>
      </c>
      <c r="CC73" s="30">
        <f t="shared" si="122"/>
        <v>11.111111111111111</v>
      </c>
      <c r="CD73" s="25">
        <f t="shared" si="83"/>
        <v>155.6</v>
      </c>
      <c r="CE73" s="17">
        <f t="shared" si="86"/>
        <v>161.6</v>
      </c>
      <c r="CF73" s="30">
        <f t="shared" si="123"/>
        <v>3.8560411311053984</v>
      </c>
      <c r="CG73" s="25">
        <v>47</v>
      </c>
      <c r="CH73" s="18">
        <v>57</v>
      </c>
      <c r="CI73" s="30">
        <f t="shared" si="124"/>
        <v>21.276595744680851</v>
      </c>
      <c r="CJ73" s="25">
        <v>6.7</v>
      </c>
      <c r="CK73" s="23">
        <v>5.6</v>
      </c>
      <c r="CL73" s="30">
        <f t="shared" si="125"/>
        <v>-16.417910447761201</v>
      </c>
      <c r="CM73" s="25">
        <v>14.2</v>
      </c>
      <c r="CN73" s="18">
        <v>13.1</v>
      </c>
      <c r="CO73" s="30">
        <f t="shared" si="126"/>
        <v>-7.7464788732394343</v>
      </c>
      <c r="CP73" s="25">
        <v>19.3</v>
      </c>
      <c r="CQ73" s="18">
        <v>52.4</v>
      </c>
      <c r="CR73" s="25">
        <v>65.400000000000006</v>
      </c>
      <c r="CS73" s="18">
        <v>62.9</v>
      </c>
      <c r="CT73" s="17">
        <f t="shared" si="87"/>
        <v>3.2850746268656712</v>
      </c>
      <c r="CU73" s="17">
        <f t="shared" si="88"/>
        <v>3.4868159203980102</v>
      </c>
      <c r="CV73" s="30">
        <f t="shared" si="127"/>
        <v>6.1411479630471231</v>
      </c>
      <c r="CW73" s="19">
        <f t="shared" si="89"/>
        <v>4.4680851063829783</v>
      </c>
      <c r="CX73" s="20">
        <f t="shared" si="90"/>
        <v>3.9122807017543861</v>
      </c>
      <c r="CY73" s="19">
        <f t="shared" si="84"/>
        <v>3.3106382978723401</v>
      </c>
      <c r="CZ73" s="20">
        <f t="shared" si="91"/>
        <v>2.8350877192982455</v>
      </c>
      <c r="DA73" s="19">
        <f t="shared" si="74"/>
        <v>4.666666666666667</v>
      </c>
      <c r="DB73" s="20">
        <f t="shared" si="69"/>
        <v>4.46</v>
      </c>
      <c r="DC73" s="19">
        <f t="shared" si="75"/>
        <v>3.4577777777777778</v>
      </c>
      <c r="DD73" s="20">
        <f t="shared" si="70"/>
        <v>3.2319999999999998</v>
      </c>
      <c r="DE73" s="19">
        <f t="shared" si="76"/>
        <v>165</v>
      </c>
      <c r="DF73" s="20">
        <f t="shared" si="71"/>
        <v>173</v>
      </c>
      <c r="DG73" s="19">
        <v>21</v>
      </c>
      <c r="DH73" s="16">
        <v>21.3</v>
      </c>
      <c r="DI73" s="19" t="s">
        <v>385</v>
      </c>
      <c r="DJ73" s="16"/>
      <c r="DK73" s="19" t="s">
        <v>386</v>
      </c>
      <c r="DL73" s="16"/>
      <c r="DM73" s="30">
        <f t="shared" si="92"/>
        <v>-100</v>
      </c>
      <c r="DN73" s="19">
        <v>693.66</v>
      </c>
      <c r="DO73" s="19">
        <v>693.66</v>
      </c>
      <c r="DP73" s="30">
        <f t="shared" si="93"/>
        <v>0</v>
      </c>
      <c r="DQ73" s="19" t="s">
        <v>387</v>
      </c>
      <c r="DR73" s="16"/>
      <c r="DS73" s="30">
        <f t="shared" si="94"/>
        <v>-100</v>
      </c>
      <c r="DT73" s="21">
        <v>445.82</v>
      </c>
      <c r="DU73" s="16"/>
      <c r="DV73" s="30">
        <f t="shared" si="95"/>
        <v>-100</v>
      </c>
      <c r="DW73" s="19">
        <v>0.34200000000000003</v>
      </c>
      <c r="DX73" s="16">
        <v>0.312</v>
      </c>
      <c r="DY73" s="30">
        <f t="shared" si="96"/>
        <v>-8.7719298245614095</v>
      </c>
      <c r="DZ73" s="19">
        <v>700862.88</v>
      </c>
      <c r="EA73" s="16">
        <v>3110435.88</v>
      </c>
      <c r="EB73" s="30">
        <f t="shared" si="97"/>
        <v>343.80091580823915</v>
      </c>
      <c r="EC73" s="19">
        <v>0.89</v>
      </c>
      <c r="ED73" s="16">
        <v>0.55000000000000004</v>
      </c>
      <c r="EE73" s="30">
        <f t="shared" si="98"/>
        <v>-38.202247191011232</v>
      </c>
      <c r="EF73" s="19">
        <f t="shared" si="81"/>
        <v>173.41499999999999</v>
      </c>
      <c r="EG73" s="20"/>
      <c r="EH73" s="16">
        <v>38.97</v>
      </c>
      <c r="EI73" s="16">
        <v>43.33</v>
      </c>
      <c r="EJ73" s="30">
        <f t="shared" si="99"/>
        <v>11.188093405183473</v>
      </c>
      <c r="EK73" s="16">
        <v>44.35</v>
      </c>
      <c r="EL73" s="16">
        <v>52.12</v>
      </c>
      <c r="EM73" s="30">
        <f t="shared" si="100"/>
        <v>17.519729425028174</v>
      </c>
    </row>
    <row r="74" spans="1:143">
      <c r="A74" s="16">
        <v>105</v>
      </c>
      <c r="B74" s="16">
        <v>2</v>
      </c>
      <c r="C74" s="16">
        <v>1</v>
      </c>
      <c r="D74" s="16">
        <v>64</v>
      </c>
      <c r="E74" s="16">
        <v>2</v>
      </c>
      <c r="F74" s="16" t="s">
        <v>388</v>
      </c>
      <c r="G74" s="16">
        <v>2</v>
      </c>
      <c r="H74" s="16">
        <v>1</v>
      </c>
      <c r="I74" s="16">
        <v>141.6</v>
      </c>
      <c r="J74" s="16">
        <v>143</v>
      </c>
      <c r="K74" s="30">
        <f t="shared" si="101"/>
        <v>0.98870056497175551</v>
      </c>
      <c r="L74" s="16">
        <v>1.78</v>
      </c>
      <c r="M74" s="16">
        <v>1.78</v>
      </c>
      <c r="N74" s="16">
        <v>44.69</v>
      </c>
      <c r="O74" s="16">
        <v>45.11</v>
      </c>
      <c r="P74" s="30">
        <f t="shared" si="102"/>
        <v>0.93980756321325065</v>
      </c>
      <c r="Q74" s="16">
        <v>132</v>
      </c>
      <c r="R74" s="16">
        <v>130</v>
      </c>
      <c r="S74" s="30">
        <f t="shared" si="103"/>
        <v>-1.5151515151515151</v>
      </c>
      <c r="T74" s="16">
        <v>135</v>
      </c>
      <c r="U74" s="16">
        <v>135</v>
      </c>
      <c r="V74" s="30">
        <f t="shared" si="104"/>
        <v>0</v>
      </c>
      <c r="W74" s="16">
        <v>137</v>
      </c>
      <c r="X74" s="16">
        <v>137</v>
      </c>
      <c r="Y74" s="30">
        <f t="shared" si="105"/>
        <v>0</v>
      </c>
      <c r="Z74" s="16">
        <v>145</v>
      </c>
      <c r="AA74" s="16">
        <v>130</v>
      </c>
      <c r="AB74" s="30">
        <f t="shared" si="106"/>
        <v>-10.344827586206897</v>
      </c>
      <c r="AC74" s="16">
        <v>90</v>
      </c>
      <c r="AD74" s="16">
        <v>80</v>
      </c>
      <c r="AE74" s="30">
        <f t="shared" si="107"/>
        <v>-11.111111111111111</v>
      </c>
      <c r="AF74" s="16">
        <v>39.1</v>
      </c>
      <c r="AG74" s="16">
        <v>40.700000000000003</v>
      </c>
      <c r="AH74" s="30">
        <f t="shared" si="108"/>
        <v>4.0920716112532007</v>
      </c>
      <c r="AI74" s="16">
        <v>298</v>
      </c>
      <c r="AJ74" s="16">
        <v>319</v>
      </c>
      <c r="AK74" s="30">
        <f t="shared" si="109"/>
        <v>7.0469798657718119</v>
      </c>
      <c r="AL74" s="16">
        <v>49</v>
      </c>
      <c r="AM74" s="16">
        <v>50</v>
      </c>
      <c r="AN74" s="17">
        <v>124</v>
      </c>
      <c r="AO74" s="18">
        <v>145</v>
      </c>
      <c r="AP74" s="30">
        <f t="shared" si="110"/>
        <v>16.93548387096774</v>
      </c>
      <c r="AQ74" s="17">
        <v>22</v>
      </c>
      <c r="AR74" s="18">
        <v>30</v>
      </c>
      <c r="AS74" s="30">
        <f t="shared" si="111"/>
        <v>36.363636363636367</v>
      </c>
      <c r="AT74" s="17">
        <v>0.87</v>
      </c>
      <c r="AU74" s="18">
        <v>0.96</v>
      </c>
      <c r="AV74" s="30">
        <f t="shared" si="112"/>
        <v>10.344827586206893</v>
      </c>
      <c r="AW74" s="17">
        <v>0.71</v>
      </c>
      <c r="AX74" s="18">
        <v>0.56999999999999995</v>
      </c>
      <c r="AY74" s="30">
        <f t="shared" si="113"/>
        <v>-19.718309859154932</v>
      </c>
      <c r="AZ74" s="17">
        <v>0.17</v>
      </c>
      <c r="BA74" s="18">
        <v>0.15</v>
      </c>
      <c r="BB74" s="30">
        <f t="shared" si="114"/>
        <v>-11.764705882352951</v>
      </c>
      <c r="BC74" s="17">
        <f t="shared" si="72"/>
        <v>0.53999999999999992</v>
      </c>
      <c r="BD74" s="17">
        <f t="shared" si="115"/>
        <v>0.41999999999999993</v>
      </c>
      <c r="BE74" s="30">
        <f t="shared" si="116"/>
        <v>-22.222222222222225</v>
      </c>
      <c r="BF74" s="17">
        <v>52</v>
      </c>
      <c r="BG74" s="18">
        <v>61</v>
      </c>
      <c r="BH74" s="17">
        <v>44</v>
      </c>
      <c r="BI74" s="18">
        <v>35</v>
      </c>
      <c r="BJ74" s="17">
        <v>98</v>
      </c>
      <c r="BK74" s="18">
        <v>93</v>
      </c>
      <c r="BL74" s="17">
        <v>4.0999999999999996</v>
      </c>
      <c r="BM74" s="18">
        <v>4.9000000000000004</v>
      </c>
      <c r="BN74" s="30">
        <f t="shared" si="117"/>
        <v>19.51219512195124</v>
      </c>
      <c r="BO74" s="17">
        <v>7.94</v>
      </c>
      <c r="BP74" s="18">
        <v>7.84</v>
      </c>
      <c r="BQ74" s="30">
        <f t="shared" si="118"/>
        <v>-1.2594458438287219</v>
      </c>
      <c r="BR74" s="17">
        <v>4.09</v>
      </c>
      <c r="BS74" s="18">
        <v>4.16</v>
      </c>
      <c r="BT74" s="30">
        <f t="shared" si="119"/>
        <v>1.7114914425427941</v>
      </c>
      <c r="BU74" s="17">
        <f t="shared" si="85"/>
        <v>3.8500000000000005</v>
      </c>
      <c r="BV74" s="17">
        <f t="shared" si="55"/>
        <v>3.6799999999999997</v>
      </c>
      <c r="BW74" s="30">
        <f t="shared" si="120"/>
        <v>-4.4155844155844362</v>
      </c>
      <c r="BX74" s="17">
        <v>163</v>
      </c>
      <c r="BY74" s="18">
        <v>167</v>
      </c>
      <c r="BZ74" s="30">
        <f t="shared" si="121"/>
        <v>2.4539877300613497</v>
      </c>
      <c r="CA74" s="17">
        <v>32</v>
      </c>
      <c r="CB74" s="18">
        <v>34</v>
      </c>
      <c r="CC74" s="30">
        <f t="shared" si="122"/>
        <v>6.25</v>
      </c>
      <c r="CD74" s="17">
        <f t="shared" si="83"/>
        <v>113.6</v>
      </c>
      <c r="CE74" s="17">
        <f t="shared" si="86"/>
        <v>113</v>
      </c>
      <c r="CF74" s="30">
        <f t="shared" si="123"/>
        <v>-0.52816901408450212</v>
      </c>
      <c r="CG74" s="17">
        <v>87</v>
      </c>
      <c r="CH74" s="18">
        <v>100</v>
      </c>
      <c r="CI74" s="30">
        <f t="shared" si="124"/>
        <v>14.942528735632186</v>
      </c>
      <c r="CJ74" s="17">
        <v>8.5</v>
      </c>
      <c r="CK74" s="18">
        <v>4.9000000000000004</v>
      </c>
      <c r="CL74" s="30">
        <f t="shared" si="125"/>
        <v>-42.35294117647058</v>
      </c>
      <c r="CM74" s="17">
        <v>17.5</v>
      </c>
      <c r="CN74" s="18">
        <v>22.8</v>
      </c>
      <c r="CO74" s="30">
        <f t="shared" si="126"/>
        <v>30.285714285714288</v>
      </c>
      <c r="CP74" s="17">
        <v>12.7</v>
      </c>
      <c r="CQ74" s="18">
        <v>26</v>
      </c>
      <c r="CR74" s="17">
        <v>88.4</v>
      </c>
      <c r="CS74" s="18">
        <v>80.7</v>
      </c>
      <c r="CT74" s="17">
        <f t="shared" si="87"/>
        <v>5.3980099502487562</v>
      </c>
      <c r="CU74" s="17">
        <f t="shared" si="88"/>
        <v>8.2238805970149258</v>
      </c>
      <c r="CV74" s="30">
        <f t="shared" si="127"/>
        <v>52.350230414746555</v>
      </c>
      <c r="CW74" s="19">
        <f t="shared" si="89"/>
        <v>1.8735632183908046</v>
      </c>
      <c r="CX74" s="20">
        <f t="shared" si="90"/>
        <v>1.67</v>
      </c>
      <c r="CY74" s="19">
        <f t="shared" si="84"/>
        <v>1.3057471264367815</v>
      </c>
      <c r="CZ74" s="20">
        <f t="shared" si="91"/>
        <v>1.1299999999999999</v>
      </c>
      <c r="DA74" s="19">
        <f t="shared" si="74"/>
        <v>5.09375</v>
      </c>
      <c r="DB74" s="20">
        <f t="shared" si="69"/>
        <v>4.9117647058823533</v>
      </c>
      <c r="DC74" s="19">
        <f t="shared" si="75"/>
        <v>3.55</v>
      </c>
      <c r="DD74" s="20">
        <f t="shared" si="70"/>
        <v>3.3235294117647061</v>
      </c>
      <c r="DE74" s="19">
        <f t="shared" si="76"/>
        <v>131</v>
      </c>
      <c r="DF74" s="20">
        <f t="shared" si="71"/>
        <v>133</v>
      </c>
      <c r="DG74" s="19" t="s">
        <v>389</v>
      </c>
      <c r="DH74" s="16">
        <v>18</v>
      </c>
      <c r="DI74" s="19" t="s">
        <v>390</v>
      </c>
      <c r="DJ74" s="16">
        <v>272.81</v>
      </c>
      <c r="DK74" s="19" t="s">
        <v>391</v>
      </c>
      <c r="DL74" s="16">
        <v>92.76</v>
      </c>
      <c r="DM74" s="30">
        <f t="shared" si="92"/>
        <v>-0.9926352865834055</v>
      </c>
      <c r="DN74" s="19">
        <v>1376.27</v>
      </c>
      <c r="DO74" s="16">
        <v>888.23</v>
      </c>
      <c r="DP74" s="30">
        <f t="shared" si="93"/>
        <v>-35.461065052642283</v>
      </c>
      <c r="DQ74" s="19" t="s">
        <v>392</v>
      </c>
      <c r="DR74" s="16">
        <v>4.88</v>
      </c>
      <c r="DS74" s="30">
        <f t="shared" si="94"/>
        <v>-71.327849588719161</v>
      </c>
      <c r="DT74" s="21">
        <v>524.41</v>
      </c>
      <c r="DU74" s="16">
        <v>355.45</v>
      </c>
      <c r="DV74" s="30">
        <f t="shared" si="95"/>
        <v>-32.219065235216718</v>
      </c>
      <c r="DW74" s="19"/>
      <c r="DX74" s="16">
        <v>0.92100000000000004</v>
      </c>
      <c r="DY74" s="30" t="e">
        <f t="shared" si="96"/>
        <v>#DIV/0!</v>
      </c>
      <c r="DZ74" s="19">
        <v>3484302.36</v>
      </c>
      <c r="EA74" s="16">
        <v>2235726.2999999998</v>
      </c>
      <c r="EB74" s="30">
        <f t="shared" si="97"/>
        <v>-35.834320073186767</v>
      </c>
      <c r="EC74" s="19">
        <v>5.49</v>
      </c>
      <c r="ED74" s="16">
        <v>9.7200000000000006</v>
      </c>
      <c r="EE74" s="30">
        <f t="shared" si="98"/>
        <v>77.049180327868854</v>
      </c>
      <c r="EF74" s="19">
        <f t="shared" si="81"/>
        <v>335.67560975609757</v>
      </c>
      <c r="EG74" s="20">
        <f t="shared" ref="EG74:EG80" si="128">DO74/BM74</f>
        <v>181.27142857142857</v>
      </c>
      <c r="EH74" s="16">
        <v>44.39</v>
      </c>
      <c r="EI74" s="16">
        <v>40.89</v>
      </c>
      <c r="EJ74" s="30">
        <f t="shared" si="99"/>
        <v>-7.8846587069159719</v>
      </c>
      <c r="EK74" s="16">
        <v>29.25</v>
      </c>
      <c r="EL74" s="16">
        <v>29.25</v>
      </c>
      <c r="EM74" s="30">
        <f t="shared" si="100"/>
        <v>0</v>
      </c>
    </row>
    <row r="75" spans="1:143">
      <c r="A75" s="16">
        <v>106</v>
      </c>
      <c r="B75" s="16">
        <v>2</v>
      </c>
      <c r="C75" s="16">
        <v>1</v>
      </c>
      <c r="D75" s="16">
        <v>63</v>
      </c>
      <c r="E75" s="16">
        <v>1</v>
      </c>
      <c r="F75" s="16" t="s">
        <v>393</v>
      </c>
      <c r="G75" s="16">
        <v>2</v>
      </c>
      <c r="H75" s="16">
        <v>1</v>
      </c>
      <c r="I75" s="16">
        <v>93.2</v>
      </c>
      <c r="J75" s="16">
        <v>90.2</v>
      </c>
      <c r="K75" s="30">
        <f t="shared" si="101"/>
        <v>-3.2188841201716736</v>
      </c>
      <c r="L75" s="16">
        <v>1.56</v>
      </c>
      <c r="M75" s="16">
        <v>1.56</v>
      </c>
      <c r="N75" s="16">
        <v>38.299999999999997</v>
      </c>
      <c r="O75" s="16">
        <v>37.119999999999997</v>
      </c>
      <c r="P75" s="30">
        <f t="shared" si="102"/>
        <v>-3.0809399477806787</v>
      </c>
      <c r="Q75" s="16">
        <v>105</v>
      </c>
      <c r="R75" s="16">
        <v>105</v>
      </c>
      <c r="S75" s="30">
        <f t="shared" si="103"/>
        <v>0</v>
      </c>
      <c r="T75" s="16">
        <v>127</v>
      </c>
      <c r="U75" s="16">
        <v>127</v>
      </c>
      <c r="V75" s="30">
        <f t="shared" si="104"/>
        <v>0</v>
      </c>
      <c r="W75" s="16">
        <v>130</v>
      </c>
      <c r="X75" s="16">
        <v>124</v>
      </c>
      <c r="Y75" s="30">
        <f t="shared" si="105"/>
        <v>-4.6153846153846159</v>
      </c>
      <c r="Z75" s="16">
        <v>135</v>
      </c>
      <c r="AA75" s="16">
        <v>130</v>
      </c>
      <c r="AB75" s="30">
        <f t="shared" si="106"/>
        <v>-3.7037037037037033</v>
      </c>
      <c r="AC75" s="16">
        <v>85</v>
      </c>
      <c r="AD75" s="16">
        <v>90</v>
      </c>
      <c r="AE75" s="30">
        <f t="shared" si="107"/>
        <v>5.8823529411764701</v>
      </c>
      <c r="AF75" s="16">
        <v>50.2</v>
      </c>
      <c r="AG75" s="16">
        <v>48.3</v>
      </c>
      <c r="AH75" s="30">
        <f t="shared" si="108"/>
        <v>-3.7848605577689356</v>
      </c>
      <c r="AI75" s="16">
        <v>460</v>
      </c>
      <c r="AJ75" s="16">
        <v>440</v>
      </c>
      <c r="AK75" s="30">
        <f t="shared" si="109"/>
        <v>-4.3478260869565215</v>
      </c>
      <c r="AL75" s="16">
        <v>48</v>
      </c>
      <c r="AM75" s="16">
        <v>47</v>
      </c>
      <c r="AN75" s="25">
        <v>103</v>
      </c>
      <c r="AO75" s="18">
        <v>97</v>
      </c>
      <c r="AP75" s="30">
        <f t="shared" si="110"/>
        <v>-5.825242718446602</v>
      </c>
      <c r="AQ75" s="25">
        <v>42</v>
      </c>
      <c r="AR75" s="18">
        <v>40</v>
      </c>
      <c r="AS75" s="30">
        <f t="shared" si="111"/>
        <v>-4.7619047619047619</v>
      </c>
      <c r="AT75" s="25">
        <v>0.85</v>
      </c>
      <c r="AU75" s="22">
        <v>0.76</v>
      </c>
      <c r="AV75" s="30">
        <f t="shared" si="112"/>
        <v>-10.588235294117645</v>
      </c>
      <c r="AW75" s="25">
        <v>0.89</v>
      </c>
      <c r="AX75" s="22">
        <v>0.48</v>
      </c>
      <c r="AY75" s="30">
        <f t="shared" si="113"/>
        <v>-46.067415730337082</v>
      </c>
      <c r="AZ75" s="25">
        <v>0.23</v>
      </c>
      <c r="BA75" s="22">
        <v>0.14000000000000001</v>
      </c>
      <c r="BB75" s="30">
        <f t="shared" si="114"/>
        <v>-39.130434782608688</v>
      </c>
      <c r="BC75" s="25">
        <f t="shared" si="72"/>
        <v>0.66</v>
      </c>
      <c r="BD75" s="17">
        <f t="shared" si="115"/>
        <v>0.33999999999999997</v>
      </c>
      <c r="BE75" s="30">
        <f t="shared" si="116"/>
        <v>-48.484848484848492</v>
      </c>
      <c r="BF75" s="25">
        <v>29</v>
      </c>
      <c r="BG75" s="18">
        <v>31</v>
      </c>
      <c r="BH75" s="25">
        <v>14</v>
      </c>
      <c r="BI75" s="18">
        <v>19</v>
      </c>
      <c r="BJ75" s="25">
        <v>20</v>
      </c>
      <c r="BK75" s="18">
        <v>20</v>
      </c>
      <c r="BL75" s="25">
        <v>2.7</v>
      </c>
      <c r="BM75" s="23">
        <v>2.5</v>
      </c>
      <c r="BN75" s="30">
        <f t="shared" si="117"/>
        <v>-7.4074074074074137</v>
      </c>
      <c r="BO75" s="25">
        <v>7.08</v>
      </c>
      <c r="BP75" s="22">
        <v>7.08</v>
      </c>
      <c r="BQ75" s="30">
        <f t="shared" si="118"/>
        <v>0</v>
      </c>
      <c r="BR75" s="25">
        <v>3.71</v>
      </c>
      <c r="BS75" s="22">
        <v>3.72</v>
      </c>
      <c r="BT75" s="30">
        <f t="shared" si="119"/>
        <v>0.26954177897574744</v>
      </c>
      <c r="BU75" s="25">
        <f t="shared" si="85"/>
        <v>3.37</v>
      </c>
      <c r="BV75" s="17">
        <f t="shared" si="55"/>
        <v>3.36</v>
      </c>
      <c r="BW75" s="30">
        <f t="shared" si="120"/>
        <v>-0.29673590504451725</v>
      </c>
      <c r="BX75" s="25">
        <v>197</v>
      </c>
      <c r="BY75" s="18">
        <v>211</v>
      </c>
      <c r="BZ75" s="30">
        <f t="shared" si="121"/>
        <v>7.1065989847715745</v>
      </c>
      <c r="CA75" s="25">
        <v>70</v>
      </c>
      <c r="CB75" s="18">
        <v>68</v>
      </c>
      <c r="CC75" s="30">
        <f t="shared" si="122"/>
        <v>-2.8571428571428572</v>
      </c>
      <c r="CD75" s="25">
        <f t="shared" si="83"/>
        <v>117.2</v>
      </c>
      <c r="CE75" s="17">
        <f t="shared" si="86"/>
        <v>130.4</v>
      </c>
      <c r="CF75" s="30">
        <f t="shared" si="123"/>
        <v>11.26279863481229</v>
      </c>
      <c r="CG75" s="25">
        <v>49</v>
      </c>
      <c r="CH75" s="18">
        <v>63</v>
      </c>
      <c r="CI75" s="30">
        <f t="shared" si="124"/>
        <v>28.571428571428569</v>
      </c>
      <c r="CJ75" s="25">
        <v>35.5</v>
      </c>
      <c r="CK75" s="23">
        <v>15</v>
      </c>
      <c r="CL75" s="30">
        <f t="shared" si="125"/>
        <v>-57.74647887323944</v>
      </c>
      <c r="CM75" s="25">
        <v>6.2</v>
      </c>
      <c r="CN75" s="18">
        <v>6.4</v>
      </c>
      <c r="CO75" s="30">
        <f t="shared" si="126"/>
        <v>3.2258064516129057</v>
      </c>
      <c r="CP75" s="25">
        <v>11.5</v>
      </c>
      <c r="CQ75" s="18">
        <v>45.2</v>
      </c>
      <c r="CR75" s="25">
        <v>34.6</v>
      </c>
      <c r="CS75" s="18">
        <v>33.4</v>
      </c>
      <c r="CT75" s="17">
        <f t="shared" si="87"/>
        <v>1.5885572139303483</v>
      </c>
      <c r="CU75" s="17">
        <f t="shared" si="88"/>
        <v>1.5442786069651744</v>
      </c>
      <c r="CV75" s="30">
        <f t="shared" si="127"/>
        <v>-2.7873473222674479</v>
      </c>
      <c r="CW75" s="19">
        <f t="shared" si="89"/>
        <v>4.0204081632653059</v>
      </c>
      <c r="CX75" s="20">
        <f t="shared" si="90"/>
        <v>3.3492063492063493</v>
      </c>
      <c r="CY75" s="19">
        <f t="shared" si="84"/>
        <v>2.3918367346938778</v>
      </c>
      <c r="CZ75" s="20">
        <f t="shared" si="91"/>
        <v>2.06984126984127</v>
      </c>
      <c r="DA75" s="19">
        <f t="shared" si="74"/>
        <v>2.8142857142857145</v>
      </c>
      <c r="DB75" s="20">
        <f t="shared" si="69"/>
        <v>3.1029411764705883</v>
      </c>
      <c r="DC75" s="19">
        <f t="shared" si="75"/>
        <v>1.6742857142857144</v>
      </c>
      <c r="DD75" s="20">
        <f t="shared" si="70"/>
        <v>1.9176470588235295</v>
      </c>
      <c r="DE75" s="19">
        <f t="shared" si="76"/>
        <v>127</v>
      </c>
      <c r="DF75" s="20">
        <f t="shared" si="71"/>
        <v>143</v>
      </c>
      <c r="DG75" s="19" t="s">
        <v>394</v>
      </c>
      <c r="DH75" s="16">
        <v>18.8</v>
      </c>
      <c r="DI75" s="19" t="s">
        <v>395</v>
      </c>
      <c r="DJ75" s="16">
        <v>203.13</v>
      </c>
      <c r="DK75" s="19" t="s">
        <v>396</v>
      </c>
      <c r="DL75" s="16">
        <v>51.64</v>
      </c>
      <c r="DM75" s="30">
        <f t="shared" si="92"/>
        <v>-31.293241085683871</v>
      </c>
      <c r="DN75" s="19">
        <v>1098.5899999999999</v>
      </c>
      <c r="DO75" s="16">
        <v>587.98</v>
      </c>
      <c r="DP75" s="30">
        <f t="shared" si="93"/>
        <v>-46.478668110942202</v>
      </c>
      <c r="DQ75" s="19" t="s">
        <v>397</v>
      </c>
      <c r="DR75" s="16">
        <v>3.11</v>
      </c>
      <c r="DS75" s="30">
        <f t="shared" si="94"/>
        <v>-42.407407407407419</v>
      </c>
      <c r="DT75" s="27">
        <v>288.08</v>
      </c>
      <c r="DU75" s="28">
        <v>448.21</v>
      </c>
      <c r="DV75" s="30">
        <f t="shared" si="95"/>
        <v>55.585254096084427</v>
      </c>
      <c r="DW75" s="19">
        <v>0.45800000000000002</v>
      </c>
      <c r="DX75" s="16">
        <v>0.60599999999999998</v>
      </c>
      <c r="DY75" s="30">
        <f t="shared" si="96"/>
        <v>32.314410480349338</v>
      </c>
      <c r="DZ75" s="19">
        <v>3363229.51</v>
      </c>
      <c r="EA75" s="16">
        <v>2068139.31</v>
      </c>
      <c r="EB75" s="30">
        <f t="shared" si="97"/>
        <v>-38.507339334091412</v>
      </c>
      <c r="EC75" s="19">
        <v>2.2599999999999998</v>
      </c>
      <c r="ED75" s="16">
        <v>15.92</v>
      </c>
      <c r="EE75" s="30">
        <f t="shared" si="98"/>
        <v>604.42477876106193</v>
      </c>
      <c r="EF75" s="19">
        <f t="shared" si="81"/>
        <v>406.88518518518515</v>
      </c>
      <c r="EG75" s="20">
        <f t="shared" si="128"/>
        <v>235.19200000000001</v>
      </c>
      <c r="EH75" s="16">
        <v>42.77</v>
      </c>
      <c r="EI75" s="16">
        <v>45.49</v>
      </c>
      <c r="EJ75" s="30">
        <f t="shared" si="99"/>
        <v>6.3595978489595471</v>
      </c>
      <c r="EK75" s="16">
        <v>13.71</v>
      </c>
      <c r="EL75" s="16">
        <v>13.71</v>
      </c>
      <c r="EM75" s="30">
        <f t="shared" si="100"/>
        <v>0</v>
      </c>
    </row>
    <row r="76" spans="1:143">
      <c r="A76" s="16">
        <v>109</v>
      </c>
      <c r="B76" s="16">
        <v>2</v>
      </c>
      <c r="C76" s="16">
        <v>1</v>
      </c>
      <c r="D76" s="16">
        <v>60</v>
      </c>
      <c r="E76" s="16">
        <v>2</v>
      </c>
      <c r="F76" s="16" t="s">
        <v>398</v>
      </c>
      <c r="G76" s="16">
        <v>1</v>
      </c>
      <c r="H76" s="16">
        <v>1</v>
      </c>
      <c r="I76" s="16">
        <v>81</v>
      </c>
      <c r="J76" s="16">
        <v>81.400000000000006</v>
      </c>
      <c r="K76" s="30">
        <f t="shared" si="101"/>
        <v>0.49382716049383418</v>
      </c>
      <c r="L76" s="16">
        <v>1.61</v>
      </c>
      <c r="M76" s="16">
        <v>1.61</v>
      </c>
      <c r="N76" s="16">
        <v>31.27</v>
      </c>
      <c r="O76" s="16">
        <v>31.43</v>
      </c>
      <c r="P76" s="30">
        <f t="shared" si="102"/>
        <v>0.51167252958106857</v>
      </c>
      <c r="Q76" s="16">
        <v>96</v>
      </c>
      <c r="R76" s="16">
        <v>103</v>
      </c>
      <c r="S76" s="30">
        <f t="shared" si="103"/>
        <v>7.291666666666667</v>
      </c>
      <c r="T76" s="16">
        <v>99</v>
      </c>
      <c r="U76" s="16">
        <v>102</v>
      </c>
      <c r="V76" s="30">
        <f t="shared" si="104"/>
        <v>3.0303030303030303</v>
      </c>
      <c r="W76" s="16">
        <v>100</v>
      </c>
      <c r="X76" s="16">
        <v>107</v>
      </c>
      <c r="Y76" s="30">
        <f t="shared" si="105"/>
        <v>7.0000000000000009</v>
      </c>
      <c r="Z76" s="16">
        <v>135</v>
      </c>
      <c r="AA76" s="16">
        <v>125</v>
      </c>
      <c r="AB76" s="30">
        <f t="shared" si="106"/>
        <v>-7.4074074074074066</v>
      </c>
      <c r="AC76" s="16">
        <v>90</v>
      </c>
      <c r="AD76" s="16">
        <v>90</v>
      </c>
      <c r="AE76" s="30">
        <f t="shared" si="107"/>
        <v>0</v>
      </c>
      <c r="AF76" s="16">
        <v>21.7</v>
      </c>
      <c r="AG76" s="16">
        <v>21.7</v>
      </c>
      <c r="AH76" s="30">
        <f t="shared" si="108"/>
        <v>0</v>
      </c>
      <c r="AI76" s="16">
        <v>395</v>
      </c>
      <c r="AJ76" s="16">
        <v>462</v>
      </c>
      <c r="AK76" s="30">
        <f t="shared" si="109"/>
        <v>16.962025316455694</v>
      </c>
      <c r="AL76" s="16">
        <v>42</v>
      </c>
      <c r="AM76" s="16">
        <v>43</v>
      </c>
      <c r="AN76" s="25">
        <v>115</v>
      </c>
      <c r="AO76" s="18">
        <v>105</v>
      </c>
      <c r="AP76" s="30">
        <f t="shared" si="110"/>
        <v>-8.695652173913043</v>
      </c>
      <c r="AQ76" s="25">
        <v>30</v>
      </c>
      <c r="AR76" s="18">
        <v>44</v>
      </c>
      <c r="AS76" s="30">
        <f t="shared" si="111"/>
        <v>46.666666666666664</v>
      </c>
      <c r="AT76" s="25">
        <v>0.91</v>
      </c>
      <c r="AU76" s="22">
        <v>1.0900000000000001</v>
      </c>
      <c r="AV76" s="30">
        <f t="shared" si="112"/>
        <v>19.780219780219785</v>
      </c>
      <c r="AW76" s="25">
        <v>0.66</v>
      </c>
      <c r="AX76" s="22">
        <v>0.53</v>
      </c>
      <c r="AY76" s="30">
        <f t="shared" si="113"/>
        <v>-19.696969696969695</v>
      </c>
      <c r="AZ76" s="25">
        <v>0.16</v>
      </c>
      <c r="BA76" s="22">
        <v>0.11</v>
      </c>
      <c r="BB76" s="30">
        <f t="shared" si="114"/>
        <v>-31.25</v>
      </c>
      <c r="BC76" s="25">
        <f t="shared" si="72"/>
        <v>0.5</v>
      </c>
      <c r="BD76" s="17">
        <f t="shared" si="115"/>
        <v>0.42000000000000004</v>
      </c>
      <c r="BE76" s="30">
        <f t="shared" si="116"/>
        <v>-15.999999999999993</v>
      </c>
      <c r="BF76" s="25">
        <v>89</v>
      </c>
      <c r="BG76" s="18">
        <v>65</v>
      </c>
      <c r="BH76" s="25">
        <v>20</v>
      </c>
      <c r="BI76" s="18">
        <v>22</v>
      </c>
      <c r="BJ76" s="25">
        <v>41</v>
      </c>
      <c r="BK76" s="18">
        <v>37</v>
      </c>
      <c r="BL76" s="25">
        <v>6.5</v>
      </c>
      <c r="BM76" s="23">
        <v>8.1</v>
      </c>
      <c r="BN76" s="30">
        <f t="shared" si="117"/>
        <v>24.61538461538461</v>
      </c>
      <c r="BO76" s="25">
        <v>7.61</v>
      </c>
      <c r="BP76" s="22">
        <v>7.25</v>
      </c>
      <c r="BQ76" s="30">
        <f t="shared" si="118"/>
        <v>-4.7306176084099905</v>
      </c>
      <c r="BR76" s="25">
        <v>3.9</v>
      </c>
      <c r="BS76" s="22">
        <v>3.93</v>
      </c>
      <c r="BT76" s="30">
        <f t="shared" si="119"/>
        <v>0.7692307692307756</v>
      </c>
      <c r="BU76" s="25">
        <f t="shared" si="85"/>
        <v>3.7100000000000004</v>
      </c>
      <c r="BV76" s="17">
        <f t="shared" si="55"/>
        <v>3.32</v>
      </c>
      <c r="BW76" s="30">
        <f t="shared" si="120"/>
        <v>-10.512129380053922</v>
      </c>
      <c r="BX76" s="25">
        <v>299</v>
      </c>
      <c r="BY76" s="18">
        <v>275</v>
      </c>
      <c r="BZ76" s="30">
        <f t="shared" si="121"/>
        <v>-8.0267558528428093</v>
      </c>
      <c r="CA76" s="25">
        <v>42</v>
      </c>
      <c r="CB76" s="18">
        <v>33</v>
      </c>
      <c r="CC76" s="30">
        <f t="shared" si="122"/>
        <v>-21.428571428571427</v>
      </c>
      <c r="CD76" s="25">
        <f t="shared" si="83"/>
        <v>211.2</v>
      </c>
      <c r="CE76" s="17">
        <f t="shared" si="86"/>
        <v>189.6</v>
      </c>
      <c r="CF76" s="30">
        <f t="shared" si="123"/>
        <v>-10.227272727272725</v>
      </c>
      <c r="CG76" s="25">
        <v>229</v>
      </c>
      <c r="CH76" s="18">
        <v>262</v>
      </c>
      <c r="CI76" s="30">
        <f t="shared" si="124"/>
        <v>14.410480349344979</v>
      </c>
      <c r="CJ76" s="25">
        <v>6.8</v>
      </c>
      <c r="CK76" s="23">
        <v>4.5999999999999996</v>
      </c>
      <c r="CL76" s="30">
        <f t="shared" si="125"/>
        <v>-32.352941176470587</v>
      </c>
      <c r="CM76" s="25">
        <v>13.3</v>
      </c>
      <c r="CN76" s="18">
        <v>11.3</v>
      </c>
      <c r="CO76" s="30">
        <f t="shared" si="126"/>
        <v>-15.037593984962406</v>
      </c>
      <c r="CP76" s="25">
        <v>10.7</v>
      </c>
      <c r="CQ76" s="18">
        <v>58.5</v>
      </c>
      <c r="CR76" s="25">
        <v>89.2</v>
      </c>
      <c r="CS76" s="18">
        <v>99.4</v>
      </c>
      <c r="CT76" s="17">
        <f t="shared" si="87"/>
        <v>3.8047263681592041</v>
      </c>
      <c r="CU76" s="17">
        <f t="shared" si="88"/>
        <v>2.9514925373134329</v>
      </c>
      <c r="CV76" s="30">
        <f t="shared" si="127"/>
        <v>-22.425629290617849</v>
      </c>
      <c r="CW76" s="19">
        <f t="shared" si="89"/>
        <v>1.3056768558951966</v>
      </c>
      <c r="CX76" s="20">
        <f t="shared" si="90"/>
        <v>1.0496183206106871</v>
      </c>
      <c r="CY76" s="19">
        <f t="shared" si="84"/>
        <v>0.9222707423580786</v>
      </c>
      <c r="CZ76" s="20">
        <f t="shared" si="91"/>
        <v>0.72366412213740461</v>
      </c>
      <c r="DA76" s="19">
        <f t="shared" si="74"/>
        <v>7.1190476190476186</v>
      </c>
      <c r="DB76" s="20">
        <f t="shared" si="69"/>
        <v>8.3333333333333339</v>
      </c>
      <c r="DC76" s="19">
        <f t="shared" si="75"/>
        <v>5.0285714285714285</v>
      </c>
      <c r="DD76" s="20">
        <f t="shared" si="70"/>
        <v>5.7454545454545451</v>
      </c>
      <c r="DE76" s="19">
        <f t="shared" si="76"/>
        <v>257</v>
      </c>
      <c r="DF76" s="20">
        <f t="shared" si="71"/>
        <v>242</v>
      </c>
      <c r="DG76" s="19" t="s">
        <v>399</v>
      </c>
      <c r="DH76" s="16">
        <v>31.6</v>
      </c>
      <c r="DI76" s="19" t="s">
        <v>400</v>
      </c>
      <c r="DJ76" s="16">
        <v>244.07</v>
      </c>
      <c r="DK76" s="19" t="s">
        <v>401</v>
      </c>
      <c r="DL76" s="16">
        <v>118.82</v>
      </c>
      <c r="DM76" s="30">
        <f t="shared" si="92"/>
        <v>3.8545581679923058</v>
      </c>
      <c r="DN76" s="19">
        <v>899.05</v>
      </c>
      <c r="DO76" s="16">
        <v>1094.33</v>
      </c>
      <c r="DP76" s="30">
        <f t="shared" si="93"/>
        <v>21.72070518881041</v>
      </c>
      <c r="DQ76" s="19" t="s">
        <v>402</v>
      </c>
      <c r="DR76" s="16">
        <v>6.93</v>
      </c>
      <c r="DS76" s="30">
        <f t="shared" si="94"/>
        <v>-49.305047549378202</v>
      </c>
      <c r="DT76" s="27">
        <v>586.04</v>
      </c>
      <c r="DU76" s="28">
        <v>562</v>
      </c>
      <c r="DV76" s="30">
        <f t="shared" si="95"/>
        <v>-4.1021090710531647</v>
      </c>
      <c r="DW76" s="19">
        <v>0.35099999999999998</v>
      </c>
      <c r="DX76" s="16">
        <v>0.40100000000000002</v>
      </c>
      <c r="DY76" s="30">
        <f t="shared" si="96"/>
        <v>14.245014245014259</v>
      </c>
      <c r="DZ76" s="19">
        <v>3103351.26</v>
      </c>
      <c r="EA76" s="16">
        <v>2736916.04</v>
      </c>
      <c r="EB76" s="30">
        <f t="shared" si="97"/>
        <v>-11.807726206281908</v>
      </c>
      <c r="EC76" s="19">
        <v>3.28</v>
      </c>
      <c r="ED76" s="16">
        <v>18.75</v>
      </c>
      <c r="EE76" s="30">
        <f t="shared" si="98"/>
        <v>471.64634146341467</v>
      </c>
      <c r="EF76" s="19">
        <f t="shared" si="81"/>
        <v>138.3153846153846</v>
      </c>
      <c r="EG76" s="20">
        <f t="shared" si="128"/>
        <v>135.10246913580247</v>
      </c>
      <c r="EH76" s="16">
        <v>39.89</v>
      </c>
      <c r="EI76" s="16">
        <v>39.89</v>
      </c>
      <c r="EJ76" s="30">
        <f t="shared" si="99"/>
        <v>0</v>
      </c>
      <c r="EK76" s="16"/>
      <c r="EL76" s="16"/>
      <c r="EM76" s="30"/>
    </row>
    <row r="77" spans="1:143">
      <c r="A77" s="16">
        <v>116</v>
      </c>
      <c r="B77" s="16">
        <v>2</v>
      </c>
      <c r="C77" s="16">
        <v>1</v>
      </c>
      <c r="D77" s="16">
        <v>58</v>
      </c>
      <c r="E77" s="16">
        <v>2</v>
      </c>
      <c r="F77" s="16" t="s">
        <v>403</v>
      </c>
      <c r="G77" s="16">
        <v>2</v>
      </c>
      <c r="H77" s="16">
        <v>1</v>
      </c>
      <c r="I77" s="16">
        <v>94.8</v>
      </c>
      <c r="J77" s="16">
        <v>95.6</v>
      </c>
      <c r="K77" s="30">
        <f t="shared" si="101"/>
        <v>0.84388185654008141</v>
      </c>
      <c r="L77" s="16">
        <v>1.68</v>
      </c>
      <c r="M77" s="16">
        <v>1.68</v>
      </c>
      <c r="N77" s="16">
        <v>33.6</v>
      </c>
      <c r="O77" s="16">
        <v>33.9</v>
      </c>
      <c r="P77" s="30">
        <f t="shared" si="102"/>
        <v>0.89285714285713436</v>
      </c>
      <c r="Q77" s="16">
        <v>111</v>
      </c>
      <c r="R77" s="16">
        <v>119</v>
      </c>
      <c r="S77" s="30">
        <f t="shared" si="103"/>
        <v>7.2072072072072073</v>
      </c>
      <c r="T77" s="16">
        <v>111</v>
      </c>
      <c r="U77" s="16">
        <v>118</v>
      </c>
      <c r="V77" s="30">
        <f t="shared" si="104"/>
        <v>6.3063063063063058</v>
      </c>
      <c r="W77" s="16">
        <v>99</v>
      </c>
      <c r="X77" s="16">
        <v>105</v>
      </c>
      <c r="Y77" s="30">
        <f t="shared" si="105"/>
        <v>6.0606060606060606</v>
      </c>
      <c r="Z77" s="16">
        <v>190</v>
      </c>
      <c r="AA77" s="16">
        <v>185</v>
      </c>
      <c r="AB77" s="30">
        <f t="shared" si="106"/>
        <v>-2.6315789473684208</v>
      </c>
      <c r="AC77" s="16">
        <v>90</v>
      </c>
      <c r="AD77" s="16">
        <v>90</v>
      </c>
      <c r="AE77" s="30">
        <f t="shared" si="107"/>
        <v>0</v>
      </c>
      <c r="AF77" s="16">
        <v>27.7</v>
      </c>
      <c r="AG77" s="16">
        <v>30.1</v>
      </c>
      <c r="AH77" s="30">
        <f t="shared" si="108"/>
        <v>8.6642599277978416</v>
      </c>
      <c r="AI77" s="16">
        <v>332</v>
      </c>
      <c r="AJ77" s="16">
        <v>361</v>
      </c>
      <c r="AK77" s="30">
        <f t="shared" si="109"/>
        <v>8.7349397590361448</v>
      </c>
      <c r="AL77" s="16">
        <v>42</v>
      </c>
      <c r="AM77" s="16">
        <v>43</v>
      </c>
      <c r="AN77" s="25">
        <v>221</v>
      </c>
      <c r="AO77" s="18">
        <v>253</v>
      </c>
      <c r="AP77" s="30">
        <f t="shared" si="110"/>
        <v>14.479638009049776</v>
      </c>
      <c r="AQ77" s="25">
        <v>48</v>
      </c>
      <c r="AR77" s="18">
        <v>48</v>
      </c>
      <c r="AS77" s="30">
        <f t="shared" si="111"/>
        <v>0</v>
      </c>
      <c r="AT77" s="25">
        <v>1.48</v>
      </c>
      <c r="AU77" s="22">
        <v>1.6</v>
      </c>
      <c r="AV77" s="30">
        <f t="shared" si="112"/>
        <v>8.1081081081081159</v>
      </c>
      <c r="AW77" s="25">
        <v>0.7</v>
      </c>
      <c r="AX77" s="22">
        <v>0.54</v>
      </c>
      <c r="AY77" s="30">
        <f t="shared" si="113"/>
        <v>-22.857142857142847</v>
      </c>
      <c r="AZ77" s="25">
        <v>0.15</v>
      </c>
      <c r="BA77" s="22">
        <v>0.14000000000000001</v>
      </c>
      <c r="BB77" s="30">
        <f t="shared" si="114"/>
        <v>-6.6666666666666536</v>
      </c>
      <c r="BC77" s="25">
        <f t="shared" si="72"/>
        <v>0.54999999999999993</v>
      </c>
      <c r="BD77" s="17">
        <f t="shared" si="115"/>
        <v>0.4</v>
      </c>
      <c r="BE77" s="30">
        <f t="shared" si="116"/>
        <v>-27.272727272727259</v>
      </c>
      <c r="BF77" s="25">
        <v>59</v>
      </c>
      <c r="BG77" s="18">
        <v>72</v>
      </c>
      <c r="BH77" s="25">
        <v>15</v>
      </c>
      <c r="BI77" s="18">
        <v>17</v>
      </c>
      <c r="BJ77" s="25">
        <v>36</v>
      </c>
      <c r="BK77" s="18">
        <v>38</v>
      </c>
      <c r="BL77" s="25">
        <v>8.4</v>
      </c>
      <c r="BM77" s="23">
        <v>8.1999999999999993</v>
      </c>
      <c r="BN77" s="30">
        <f t="shared" si="117"/>
        <v>-2.3809523809523938</v>
      </c>
      <c r="BO77" s="25">
        <v>8.06</v>
      </c>
      <c r="BP77" s="22">
        <v>7.74</v>
      </c>
      <c r="BQ77" s="30">
        <f t="shared" si="118"/>
        <v>-3.970223325062038</v>
      </c>
      <c r="BR77" s="25">
        <v>4.37</v>
      </c>
      <c r="BS77" s="22">
        <v>4.26</v>
      </c>
      <c r="BT77" s="30">
        <f t="shared" si="119"/>
        <v>-2.517162471395888</v>
      </c>
      <c r="BU77" s="25">
        <f t="shared" si="85"/>
        <v>3.6900000000000004</v>
      </c>
      <c r="BV77" s="17">
        <f t="shared" si="55"/>
        <v>3.4800000000000004</v>
      </c>
      <c r="BW77" s="30">
        <f t="shared" si="120"/>
        <v>-5.6910569105691042</v>
      </c>
      <c r="BX77" s="25">
        <v>249</v>
      </c>
      <c r="BY77" s="18">
        <v>241</v>
      </c>
      <c r="BZ77" s="30">
        <f t="shared" si="121"/>
        <v>-3.2128514056224895</v>
      </c>
      <c r="CA77" s="25">
        <v>42</v>
      </c>
      <c r="CB77" s="18">
        <v>41</v>
      </c>
      <c r="CC77" s="30">
        <f t="shared" si="122"/>
        <v>-2.3809523809523809</v>
      </c>
      <c r="CD77" s="25">
        <f t="shared" si="83"/>
        <v>148.80000000000001</v>
      </c>
      <c r="CE77" s="17">
        <f t="shared" si="86"/>
        <v>148.80000000000001</v>
      </c>
      <c r="CF77" s="30">
        <f t="shared" si="123"/>
        <v>0</v>
      </c>
      <c r="CG77" s="25">
        <v>291</v>
      </c>
      <c r="CH77" s="18">
        <v>256</v>
      </c>
      <c r="CI77" s="30">
        <f t="shared" si="124"/>
        <v>-12.027491408934708</v>
      </c>
      <c r="CJ77" s="25">
        <v>8.5</v>
      </c>
      <c r="CK77" s="23">
        <v>9.3000000000000007</v>
      </c>
      <c r="CL77" s="30">
        <f t="shared" si="125"/>
        <v>9.4117647058823604</v>
      </c>
      <c r="CM77" s="25">
        <v>18</v>
      </c>
      <c r="CN77" s="18">
        <v>15.9</v>
      </c>
      <c r="CO77" s="30">
        <f t="shared" si="126"/>
        <v>-11.666666666666664</v>
      </c>
      <c r="CP77" s="25">
        <v>15.8</v>
      </c>
      <c r="CQ77" s="18">
        <v>57.7</v>
      </c>
      <c r="CR77" s="25">
        <v>24.5</v>
      </c>
      <c r="CS77" s="18">
        <v>28.7</v>
      </c>
      <c r="CT77" s="17">
        <f t="shared" si="87"/>
        <v>9.8955223880597014</v>
      </c>
      <c r="CU77" s="17">
        <f t="shared" si="88"/>
        <v>10.006716417910448</v>
      </c>
      <c r="CV77" s="30">
        <f t="shared" si="127"/>
        <v>1.1236802413273077</v>
      </c>
      <c r="CW77" s="19">
        <f t="shared" si="89"/>
        <v>0.85567010309278346</v>
      </c>
      <c r="CX77" s="20">
        <f t="shared" si="90"/>
        <v>0.94140625</v>
      </c>
      <c r="CY77" s="19">
        <f t="shared" si="84"/>
        <v>0.51134020618556708</v>
      </c>
      <c r="CZ77" s="20">
        <f t="shared" si="91"/>
        <v>0.58125000000000004</v>
      </c>
      <c r="DA77" s="19">
        <f t="shared" si="74"/>
        <v>5.9285714285714288</v>
      </c>
      <c r="DB77" s="20">
        <f t="shared" si="69"/>
        <v>5.8780487804878048</v>
      </c>
      <c r="DC77" s="19">
        <f t="shared" si="75"/>
        <v>3.5428571428571431</v>
      </c>
      <c r="DD77" s="20">
        <f t="shared" si="70"/>
        <v>3.6292682926829269</v>
      </c>
      <c r="DE77" s="19">
        <f t="shared" si="76"/>
        <v>207</v>
      </c>
      <c r="DF77" s="20">
        <f t="shared" si="71"/>
        <v>200</v>
      </c>
      <c r="DG77" s="19" t="s">
        <v>404</v>
      </c>
      <c r="DH77" s="16">
        <v>31.6</v>
      </c>
      <c r="DI77" s="19" t="s">
        <v>405</v>
      </c>
      <c r="DJ77" s="16">
        <v>266.89999999999998</v>
      </c>
      <c r="DK77" s="19" t="s">
        <v>406</v>
      </c>
      <c r="DL77" s="16">
        <v>48.08</v>
      </c>
      <c r="DM77" s="30">
        <f t="shared" si="92"/>
        <v>-75.000000000000014</v>
      </c>
      <c r="DN77" s="19">
        <v>1071.31</v>
      </c>
      <c r="DO77" s="16">
        <v>1010.31</v>
      </c>
      <c r="DP77" s="30">
        <f t="shared" si="93"/>
        <v>-5.6939634652901594</v>
      </c>
      <c r="DQ77" s="19" t="s">
        <v>407</v>
      </c>
      <c r="DR77" s="16">
        <v>8.67</v>
      </c>
      <c r="DS77" s="30">
        <f t="shared" si="94"/>
        <v>-13.126252505010024</v>
      </c>
      <c r="DT77" s="27">
        <v>362.22</v>
      </c>
      <c r="DU77" s="28">
        <v>418.86</v>
      </c>
      <c r="DV77" s="30">
        <f t="shared" si="95"/>
        <v>15.636905747888019</v>
      </c>
      <c r="DW77" s="19">
        <v>0.45500000000000002</v>
      </c>
      <c r="DX77" s="16">
        <v>0.45200000000000001</v>
      </c>
      <c r="DY77" s="30">
        <f t="shared" si="96"/>
        <v>-0.65934065934065988</v>
      </c>
      <c r="DZ77" s="19">
        <v>1445193.5</v>
      </c>
      <c r="EA77" s="16">
        <v>2848309.01</v>
      </c>
      <c r="EB77" s="30">
        <f t="shared" si="97"/>
        <v>97.088418263713464</v>
      </c>
      <c r="EC77" s="19">
        <v>1.57</v>
      </c>
      <c r="ED77" s="16">
        <v>8.2100000000000009</v>
      </c>
      <c r="EE77" s="30">
        <f t="shared" si="98"/>
        <v>422.9299363057325</v>
      </c>
      <c r="EF77" s="19">
        <f t="shared" si="81"/>
        <v>127.53690476190475</v>
      </c>
      <c r="EG77" s="20">
        <f t="shared" si="128"/>
        <v>123.20853658536586</v>
      </c>
      <c r="EH77" s="16">
        <v>38.340000000000003</v>
      </c>
      <c r="EI77" s="16">
        <v>45.03</v>
      </c>
      <c r="EJ77" s="30">
        <f t="shared" si="99"/>
        <v>17.449139280125188</v>
      </c>
      <c r="EK77" s="16">
        <v>63.03</v>
      </c>
      <c r="EL77" s="16">
        <v>50.48</v>
      </c>
      <c r="EM77" s="30">
        <f t="shared" si="100"/>
        <v>-19.911153419006826</v>
      </c>
    </row>
    <row r="78" spans="1:143">
      <c r="A78" s="16">
        <v>117</v>
      </c>
      <c r="B78" s="16">
        <v>2</v>
      </c>
      <c r="C78" s="16">
        <v>1</v>
      </c>
      <c r="D78" s="16">
        <v>40</v>
      </c>
      <c r="E78" s="16">
        <v>1</v>
      </c>
      <c r="F78" s="16" t="s">
        <v>408</v>
      </c>
      <c r="G78" s="16">
        <v>2</v>
      </c>
      <c r="H78" s="16">
        <v>1</v>
      </c>
      <c r="I78" s="16">
        <v>94.3</v>
      </c>
      <c r="J78" s="16">
        <v>95.5</v>
      </c>
      <c r="K78" s="30">
        <f t="shared" si="101"/>
        <v>1.2725344644750824</v>
      </c>
      <c r="L78" s="16">
        <v>1.64</v>
      </c>
      <c r="M78" s="16">
        <v>1.64</v>
      </c>
      <c r="N78" s="16">
        <v>35.18</v>
      </c>
      <c r="O78" s="16">
        <v>35.5</v>
      </c>
      <c r="P78" s="30">
        <f t="shared" si="102"/>
        <v>0.90960773166571995</v>
      </c>
      <c r="Q78" s="16">
        <v>89</v>
      </c>
      <c r="R78" s="16">
        <v>93</v>
      </c>
      <c r="S78" s="30">
        <f t="shared" si="103"/>
        <v>4.4943820224719104</v>
      </c>
      <c r="T78" s="16">
        <v>100</v>
      </c>
      <c r="U78" s="16">
        <v>103</v>
      </c>
      <c r="V78" s="30">
        <f t="shared" si="104"/>
        <v>3</v>
      </c>
      <c r="W78" s="16">
        <v>108</v>
      </c>
      <c r="X78" s="16">
        <v>115</v>
      </c>
      <c r="Y78" s="30">
        <f t="shared" si="105"/>
        <v>6.481481481481481</v>
      </c>
      <c r="Z78" s="16">
        <v>120</v>
      </c>
      <c r="AA78" s="16">
        <v>105</v>
      </c>
      <c r="AB78" s="30">
        <f t="shared" si="106"/>
        <v>-12.5</v>
      </c>
      <c r="AC78" s="16">
        <v>75</v>
      </c>
      <c r="AD78" s="16">
        <v>75</v>
      </c>
      <c r="AE78" s="30">
        <f t="shared" si="107"/>
        <v>0</v>
      </c>
      <c r="AF78" s="16">
        <v>45.5</v>
      </c>
      <c r="AG78" s="16">
        <v>44.3</v>
      </c>
      <c r="AH78" s="30">
        <f t="shared" si="108"/>
        <v>-2.6373626373626435</v>
      </c>
      <c r="AI78" s="16">
        <v>502</v>
      </c>
      <c r="AJ78" s="16">
        <v>452</v>
      </c>
      <c r="AK78" s="30">
        <f t="shared" si="109"/>
        <v>-9.9601593625498008</v>
      </c>
      <c r="AL78" s="16">
        <v>45</v>
      </c>
      <c r="AM78" s="16">
        <v>44</v>
      </c>
      <c r="AN78" s="25">
        <v>89</v>
      </c>
      <c r="AO78" s="18">
        <v>89</v>
      </c>
      <c r="AP78" s="30">
        <f t="shared" si="110"/>
        <v>0</v>
      </c>
      <c r="AQ78" s="25">
        <v>24</v>
      </c>
      <c r="AR78" s="18">
        <v>23</v>
      </c>
      <c r="AS78" s="30">
        <f t="shared" si="111"/>
        <v>-4.1666666666666661</v>
      </c>
      <c r="AT78" s="25">
        <v>0.74</v>
      </c>
      <c r="AU78" s="22">
        <v>0.84</v>
      </c>
      <c r="AV78" s="30">
        <f t="shared" si="112"/>
        <v>13.513513513513512</v>
      </c>
      <c r="AW78" s="25">
        <v>0.49</v>
      </c>
      <c r="AX78" s="22">
        <v>0.35</v>
      </c>
      <c r="AY78" s="30">
        <f t="shared" si="113"/>
        <v>-28.571428571428577</v>
      </c>
      <c r="AZ78" s="25">
        <v>0.11</v>
      </c>
      <c r="BA78" s="22">
        <v>0.11</v>
      </c>
      <c r="BB78" s="30">
        <f t="shared" si="114"/>
        <v>0</v>
      </c>
      <c r="BC78" s="25">
        <f t="shared" si="72"/>
        <v>0.38</v>
      </c>
      <c r="BD78" s="17">
        <f t="shared" si="115"/>
        <v>0.24</v>
      </c>
      <c r="BE78" s="30">
        <f t="shared" si="116"/>
        <v>-36.842105263157897</v>
      </c>
      <c r="BF78" s="25">
        <v>42</v>
      </c>
      <c r="BG78" s="18">
        <v>52</v>
      </c>
      <c r="BH78" s="25">
        <v>21</v>
      </c>
      <c r="BI78" s="18">
        <v>21</v>
      </c>
      <c r="BJ78" s="25">
        <v>27</v>
      </c>
      <c r="BK78" s="18">
        <v>24</v>
      </c>
      <c r="BL78" s="25">
        <v>5.0999999999999996</v>
      </c>
      <c r="BM78" s="23">
        <v>5.6</v>
      </c>
      <c r="BN78" s="30">
        <f t="shared" si="117"/>
        <v>9.8039215686274517</v>
      </c>
      <c r="BO78" s="25">
        <v>7.61</v>
      </c>
      <c r="BP78" s="22">
        <v>7.21</v>
      </c>
      <c r="BQ78" s="30">
        <f t="shared" si="118"/>
        <v>-5.256241787122212</v>
      </c>
      <c r="BR78" s="25">
        <v>3.75</v>
      </c>
      <c r="BS78" s="22">
        <v>3.59</v>
      </c>
      <c r="BT78" s="30">
        <f t="shared" si="119"/>
        <v>-4.266666666666671</v>
      </c>
      <c r="BU78" s="25">
        <f t="shared" si="85"/>
        <v>3.8600000000000003</v>
      </c>
      <c r="BV78" s="17">
        <f t="shared" si="55"/>
        <v>3.62</v>
      </c>
      <c r="BW78" s="30">
        <f t="shared" si="120"/>
        <v>-6.2176165803108852</v>
      </c>
      <c r="BX78" s="25">
        <v>130</v>
      </c>
      <c r="BY78" s="18">
        <v>127</v>
      </c>
      <c r="BZ78" s="30">
        <f t="shared" si="121"/>
        <v>-2.3076923076923079</v>
      </c>
      <c r="CA78" s="25">
        <v>57</v>
      </c>
      <c r="CB78" s="18">
        <v>53</v>
      </c>
      <c r="CC78" s="30">
        <f t="shared" si="122"/>
        <v>-7.0175438596491224</v>
      </c>
      <c r="CD78" s="25">
        <f t="shared" si="83"/>
        <v>57</v>
      </c>
      <c r="CE78" s="17">
        <f t="shared" si="86"/>
        <v>56.599999999999994</v>
      </c>
      <c r="CF78" s="30">
        <f t="shared" si="123"/>
        <v>-0.70175438596492223</v>
      </c>
      <c r="CG78" s="25">
        <v>80</v>
      </c>
      <c r="CH78" s="18">
        <v>87</v>
      </c>
      <c r="CI78" s="30">
        <f t="shared" si="124"/>
        <v>8.75</v>
      </c>
      <c r="CJ78" s="25">
        <v>3.9</v>
      </c>
      <c r="CK78" s="23">
        <v>3.9</v>
      </c>
      <c r="CL78" s="30">
        <f t="shared" si="125"/>
        <v>0</v>
      </c>
      <c r="CM78" s="25">
        <v>14.5</v>
      </c>
      <c r="CN78" s="18">
        <v>17.399999999999999</v>
      </c>
      <c r="CO78" s="30">
        <f t="shared" si="126"/>
        <v>19.999999999999989</v>
      </c>
      <c r="CP78" s="25">
        <v>14.4</v>
      </c>
      <c r="CQ78" s="18">
        <v>52.5</v>
      </c>
      <c r="CR78" s="25">
        <v>58.2</v>
      </c>
      <c r="CS78" s="18">
        <v>43.2</v>
      </c>
      <c r="CT78" s="17">
        <f t="shared" si="87"/>
        <v>3.2101990049751246</v>
      </c>
      <c r="CU78" s="17">
        <f t="shared" si="88"/>
        <v>3.8522388059701491</v>
      </c>
      <c r="CV78" s="30">
        <f t="shared" si="127"/>
        <v>19.999999999999989</v>
      </c>
      <c r="CW78" s="19">
        <f t="shared" si="89"/>
        <v>1.625</v>
      </c>
      <c r="CX78" s="20">
        <f t="shared" si="90"/>
        <v>1.4597701149425288</v>
      </c>
      <c r="CY78" s="19">
        <f t="shared" si="84"/>
        <v>0.71250000000000002</v>
      </c>
      <c r="CZ78" s="20">
        <f t="shared" si="91"/>
        <v>0.65057471264367805</v>
      </c>
      <c r="DA78" s="19">
        <f t="shared" si="74"/>
        <v>2.2807017543859649</v>
      </c>
      <c r="DB78" s="20">
        <f t="shared" si="69"/>
        <v>2.3962264150943398</v>
      </c>
      <c r="DC78" s="19">
        <f t="shared" si="75"/>
        <v>1</v>
      </c>
      <c r="DD78" s="20">
        <f t="shared" si="70"/>
        <v>1.0679245283018868</v>
      </c>
      <c r="DE78" s="19">
        <f t="shared" si="76"/>
        <v>73</v>
      </c>
      <c r="DF78" s="20">
        <f t="shared" si="71"/>
        <v>74</v>
      </c>
      <c r="DG78" s="19">
        <v>22</v>
      </c>
      <c r="DH78" s="16">
        <v>20.3</v>
      </c>
      <c r="DI78" s="19" t="s">
        <v>409</v>
      </c>
      <c r="DJ78" s="16">
        <v>346.03</v>
      </c>
      <c r="DK78" s="19" t="s">
        <v>410</v>
      </c>
      <c r="DL78" s="16">
        <v>60.87</v>
      </c>
      <c r="DM78" s="30">
        <f t="shared" si="92"/>
        <v>52.403605408112178</v>
      </c>
      <c r="DN78" s="19">
        <v>987.54</v>
      </c>
      <c r="DO78" s="16">
        <v>1059.19</v>
      </c>
      <c r="DP78" s="30">
        <f t="shared" si="93"/>
        <v>7.2554023128177185</v>
      </c>
      <c r="DQ78" s="19" t="s">
        <v>411</v>
      </c>
      <c r="DR78" s="16">
        <v>5.56</v>
      </c>
      <c r="DS78" s="30">
        <f t="shared" si="94"/>
        <v>0.72463768115942095</v>
      </c>
      <c r="DT78" s="27">
        <v>515.41</v>
      </c>
      <c r="DU78" s="28">
        <v>601.16</v>
      </c>
      <c r="DV78" s="30">
        <f t="shared" si="95"/>
        <v>16.63724025533071</v>
      </c>
      <c r="DW78" s="19">
        <v>0.55600000000000005</v>
      </c>
      <c r="DX78" s="16">
        <v>0.46899999999999997</v>
      </c>
      <c r="DY78" s="30">
        <f t="shared" si="96"/>
        <v>-15.647482014388503</v>
      </c>
      <c r="DZ78" s="19">
        <v>806425.16</v>
      </c>
      <c r="EA78" s="16">
        <v>2316325.69</v>
      </c>
      <c r="EB78" s="30">
        <f t="shared" si="97"/>
        <v>187.23380728845311</v>
      </c>
      <c r="EC78" s="19">
        <v>10.9</v>
      </c>
      <c r="ED78" s="16">
        <v>87.52</v>
      </c>
      <c r="EE78" s="30">
        <f t="shared" si="98"/>
        <v>702.93577981651367</v>
      </c>
      <c r="EF78" s="19">
        <f t="shared" si="81"/>
        <v>193.63529411764708</v>
      </c>
      <c r="EG78" s="20">
        <f t="shared" si="128"/>
        <v>189.14107142857145</v>
      </c>
      <c r="EH78" s="16">
        <v>49.96</v>
      </c>
      <c r="EI78" s="16">
        <v>37.82</v>
      </c>
      <c r="EJ78" s="30">
        <f t="shared" si="99"/>
        <v>-24.299439551641314</v>
      </c>
      <c r="EK78" s="16">
        <v>58.02</v>
      </c>
      <c r="EL78" s="16">
        <v>58.02</v>
      </c>
      <c r="EM78" s="30">
        <f t="shared" si="100"/>
        <v>0</v>
      </c>
    </row>
    <row r="79" spans="1:143">
      <c r="A79" s="16">
        <v>119</v>
      </c>
      <c r="B79" s="16">
        <v>2</v>
      </c>
      <c r="C79" s="16">
        <v>2</v>
      </c>
      <c r="D79" s="16">
        <v>48</v>
      </c>
      <c r="E79" s="16">
        <v>2</v>
      </c>
      <c r="F79" s="16" t="s">
        <v>412</v>
      </c>
      <c r="G79" s="16">
        <v>2</v>
      </c>
      <c r="H79" s="16">
        <v>1</v>
      </c>
      <c r="I79" s="16">
        <v>85.1</v>
      </c>
      <c r="J79" s="16">
        <v>82.8</v>
      </c>
      <c r="K79" s="30">
        <f t="shared" si="101"/>
        <v>-2.7027027027026995</v>
      </c>
      <c r="L79" s="16">
        <v>1.63</v>
      </c>
      <c r="M79" s="16">
        <v>1.63</v>
      </c>
      <c r="N79" s="16">
        <v>30.07</v>
      </c>
      <c r="O79" s="16">
        <v>31.13</v>
      </c>
      <c r="P79" s="30">
        <f t="shared" si="102"/>
        <v>3.5251080811439932</v>
      </c>
      <c r="Q79" s="16">
        <v>96</v>
      </c>
      <c r="R79" s="16">
        <v>97</v>
      </c>
      <c r="S79" s="30">
        <f t="shared" si="103"/>
        <v>1.0416666666666665</v>
      </c>
      <c r="T79" s="16">
        <v>98</v>
      </c>
      <c r="U79" s="16">
        <v>98</v>
      </c>
      <c r="V79" s="30">
        <f t="shared" si="104"/>
        <v>0</v>
      </c>
      <c r="W79" s="16">
        <v>107</v>
      </c>
      <c r="X79" s="16">
        <v>106</v>
      </c>
      <c r="Y79" s="30">
        <f t="shared" si="105"/>
        <v>-0.93457943925233633</v>
      </c>
      <c r="Z79" s="16">
        <v>135</v>
      </c>
      <c r="AA79" s="16">
        <v>140</v>
      </c>
      <c r="AB79" s="30">
        <f t="shared" si="106"/>
        <v>3.7037037037037033</v>
      </c>
      <c r="AC79" s="16">
        <v>90</v>
      </c>
      <c r="AD79" s="16">
        <v>90</v>
      </c>
      <c r="AE79" s="30">
        <f t="shared" si="107"/>
        <v>0</v>
      </c>
      <c r="AF79" s="16">
        <v>21.7</v>
      </c>
      <c r="AG79" s="16">
        <v>21.7</v>
      </c>
      <c r="AH79" s="30">
        <f t="shared" si="108"/>
        <v>0</v>
      </c>
      <c r="AI79" s="16">
        <v>393</v>
      </c>
      <c r="AJ79" s="16">
        <v>391</v>
      </c>
      <c r="AK79" s="30">
        <f t="shared" si="109"/>
        <v>-0.5089058524173028</v>
      </c>
      <c r="AL79" s="16">
        <v>41</v>
      </c>
      <c r="AM79" s="16">
        <v>40</v>
      </c>
      <c r="AN79" s="25">
        <v>236</v>
      </c>
      <c r="AO79" s="18">
        <v>226</v>
      </c>
      <c r="AP79" s="30">
        <f t="shared" si="110"/>
        <v>-4.2372881355932197</v>
      </c>
      <c r="AQ79" s="25">
        <v>30</v>
      </c>
      <c r="AR79" s="18">
        <v>36</v>
      </c>
      <c r="AS79" s="30">
        <f t="shared" si="111"/>
        <v>20</v>
      </c>
      <c r="AT79" s="25">
        <v>0.83</v>
      </c>
      <c r="AU79" s="22">
        <v>0.86</v>
      </c>
      <c r="AV79" s="30">
        <f t="shared" si="112"/>
        <v>3.6144578313253044</v>
      </c>
      <c r="AW79" s="25">
        <v>0.43</v>
      </c>
      <c r="AX79" s="22">
        <v>0.34</v>
      </c>
      <c r="AY79" s="30">
        <f t="shared" si="113"/>
        <v>-20.930232558139529</v>
      </c>
      <c r="AZ79" s="25">
        <v>0.1</v>
      </c>
      <c r="BA79" s="22">
        <v>7.0000000000000007E-2</v>
      </c>
      <c r="BB79" s="30">
        <f t="shared" si="114"/>
        <v>-30</v>
      </c>
      <c r="BC79" s="25">
        <f t="shared" si="72"/>
        <v>0.32999999999999996</v>
      </c>
      <c r="BD79" s="17">
        <f t="shared" si="115"/>
        <v>0.27</v>
      </c>
      <c r="BE79" s="30">
        <f t="shared" si="116"/>
        <v>-18.181818181818166</v>
      </c>
      <c r="BF79" s="25">
        <v>28</v>
      </c>
      <c r="BG79" s="18">
        <v>37</v>
      </c>
      <c r="BH79" s="25">
        <v>23</v>
      </c>
      <c r="BI79" s="18">
        <v>19</v>
      </c>
      <c r="BJ79" s="25">
        <v>31</v>
      </c>
      <c r="BK79" s="18">
        <v>27</v>
      </c>
      <c r="BL79" s="25">
        <v>4</v>
      </c>
      <c r="BM79" s="23">
        <v>4.2</v>
      </c>
      <c r="BN79" s="30">
        <f t="shared" si="117"/>
        <v>5.0000000000000044</v>
      </c>
      <c r="BO79" s="25">
        <v>8.11</v>
      </c>
      <c r="BP79" s="22">
        <v>7.73</v>
      </c>
      <c r="BQ79" s="30">
        <f t="shared" si="118"/>
        <v>-4.6855733662145376</v>
      </c>
      <c r="BR79" s="25">
        <v>4.25</v>
      </c>
      <c r="BS79" s="22">
        <v>4.22</v>
      </c>
      <c r="BT79" s="30">
        <f t="shared" si="119"/>
        <v>-0.70588235294118229</v>
      </c>
      <c r="BU79" s="25">
        <f t="shared" si="85"/>
        <v>3.8599999999999994</v>
      </c>
      <c r="BV79" s="17">
        <f t="shared" si="55"/>
        <v>3.5100000000000007</v>
      </c>
      <c r="BW79" s="30">
        <f t="shared" si="120"/>
        <v>-9.0673575129533379</v>
      </c>
      <c r="BX79" s="25">
        <v>199</v>
      </c>
      <c r="BY79" s="18">
        <v>180</v>
      </c>
      <c r="BZ79" s="30">
        <f t="shared" si="121"/>
        <v>-9.5477386934673358</v>
      </c>
      <c r="CA79" s="25">
        <v>57</v>
      </c>
      <c r="CB79" s="18">
        <v>52</v>
      </c>
      <c r="CC79" s="30">
        <f t="shared" si="122"/>
        <v>-8.7719298245614024</v>
      </c>
      <c r="CD79" s="25">
        <f t="shared" si="83"/>
        <v>130.80000000000001</v>
      </c>
      <c r="CE79" s="17">
        <f t="shared" si="86"/>
        <v>114.6</v>
      </c>
      <c r="CF79" s="30">
        <f t="shared" si="123"/>
        <v>-12.385321100917443</v>
      </c>
      <c r="CG79" s="25">
        <v>56</v>
      </c>
      <c r="CH79" s="18">
        <v>67</v>
      </c>
      <c r="CI79" s="30">
        <f t="shared" si="124"/>
        <v>19.642857142857142</v>
      </c>
      <c r="CJ79" s="25">
        <v>2.4</v>
      </c>
      <c r="CK79" s="23">
        <v>1.3</v>
      </c>
      <c r="CL79" s="30">
        <f t="shared" si="125"/>
        <v>-45.833333333333329</v>
      </c>
      <c r="CM79" s="25">
        <v>7.2</v>
      </c>
      <c r="CN79" s="18">
        <v>8.6999999999999993</v>
      </c>
      <c r="CO79" s="30">
        <f t="shared" si="126"/>
        <v>20.833333333333321</v>
      </c>
      <c r="CP79" s="25">
        <v>14.4</v>
      </c>
      <c r="CQ79" s="18">
        <v>75.8</v>
      </c>
      <c r="CR79" s="25">
        <v>40.5</v>
      </c>
      <c r="CS79" s="18">
        <v>23.9</v>
      </c>
      <c r="CT79" s="17">
        <f t="shared" si="87"/>
        <v>4.2268656716417912</v>
      </c>
      <c r="CU79" s="17">
        <f t="shared" si="88"/>
        <v>4.8910447761194025</v>
      </c>
      <c r="CV79" s="30">
        <f t="shared" si="127"/>
        <v>15.713276836158178</v>
      </c>
      <c r="CW79" s="19">
        <f t="shared" si="89"/>
        <v>3.5535714285714284</v>
      </c>
      <c r="CX79" s="20">
        <f t="shared" si="90"/>
        <v>2.6865671641791047</v>
      </c>
      <c r="CY79" s="19">
        <f t="shared" si="84"/>
        <v>2.3357142857142859</v>
      </c>
      <c r="CZ79" s="20">
        <f t="shared" si="91"/>
        <v>1.7104477611940299</v>
      </c>
      <c r="DA79" s="19">
        <f t="shared" si="74"/>
        <v>3.4912280701754388</v>
      </c>
      <c r="DB79" s="20">
        <f t="shared" si="69"/>
        <v>3.4615384615384617</v>
      </c>
      <c r="DC79" s="19">
        <f t="shared" si="75"/>
        <v>2.2947368421052632</v>
      </c>
      <c r="DD79" s="20">
        <f t="shared" si="70"/>
        <v>2.2038461538461536</v>
      </c>
      <c r="DE79" s="19">
        <f t="shared" si="76"/>
        <v>142</v>
      </c>
      <c r="DF79" s="20">
        <f t="shared" si="71"/>
        <v>128</v>
      </c>
      <c r="DG79" s="19" t="s">
        <v>245</v>
      </c>
      <c r="DH79" s="16">
        <v>33.799999999999997</v>
      </c>
      <c r="DI79" s="19" t="s">
        <v>413</v>
      </c>
      <c r="DJ79" s="16">
        <v>323.98</v>
      </c>
      <c r="DK79" s="19" t="s">
        <v>414</v>
      </c>
      <c r="DL79" s="16">
        <v>40.96</v>
      </c>
      <c r="DM79" s="30">
        <f t="shared" si="92"/>
        <v>-39.506719834588679</v>
      </c>
      <c r="DN79" s="19">
        <v>846.66</v>
      </c>
      <c r="DO79" s="16">
        <v>885.2</v>
      </c>
      <c r="DP79" s="30">
        <f t="shared" si="93"/>
        <v>4.5520043464909268</v>
      </c>
      <c r="DQ79" s="19" t="s">
        <v>415</v>
      </c>
      <c r="DR79" s="16">
        <v>5.63</v>
      </c>
      <c r="DS79" s="30">
        <f t="shared" si="94"/>
        <v>4.6468401486988853</v>
      </c>
      <c r="DT79" s="27">
        <v>431.32</v>
      </c>
      <c r="DU79" s="28">
        <v>565.11</v>
      </c>
      <c r="DV79" s="30">
        <f t="shared" si="95"/>
        <v>31.018733191134196</v>
      </c>
      <c r="DW79" s="19">
        <v>0.53800000000000003</v>
      </c>
      <c r="DX79" s="16">
        <v>0.49299999999999999</v>
      </c>
      <c r="DY79" s="30">
        <f t="shared" si="96"/>
        <v>-8.3643122676580006</v>
      </c>
      <c r="DZ79" s="19">
        <v>2140048.81</v>
      </c>
      <c r="EA79" s="16">
        <v>1297552.3899999999</v>
      </c>
      <c r="EB79" s="30">
        <f t="shared" si="97"/>
        <v>-39.368093665115985</v>
      </c>
      <c r="EC79" s="19">
        <v>0.72</v>
      </c>
      <c r="ED79" s="16">
        <v>6</v>
      </c>
      <c r="EE79" s="30">
        <f t="shared" si="98"/>
        <v>733.33333333333337</v>
      </c>
      <c r="EF79" s="19">
        <f t="shared" si="81"/>
        <v>211.66499999999999</v>
      </c>
      <c r="EG79" s="20">
        <f t="shared" si="128"/>
        <v>210.76190476190476</v>
      </c>
      <c r="EH79" s="16">
        <v>60.97</v>
      </c>
      <c r="EI79" s="16">
        <v>33.729999999999997</v>
      </c>
      <c r="EJ79" s="30">
        <f t="shared" si="99"/>
        <v>-44.677710349352147</v>
      </c>
      <c r="EK79" s="16">
        <v>53.65</v>
      </c>
      <c r="EL79" s="16">
        <v>78.400000000000006</v>
      </c>
      <c r="EM79" s="30">
        <f t="shared" si="100"/>
        <v>46.132339235787526</v>
      </c>
    </row>
    <row r="80" spans="1:143">
      <c r="A80" s="16">
        <v>123</v>
      </c>
      <c r="B80" s="16">
        <v>2</v>
      </c>
      <c r="C80" s="16">
        <v>1</v>
      </c>
      <c r="D80" s="16">
        <v>51</v>
      </c>
      <c r="E80" s="16">
        <v>1</v>
      </c>
      <c r="F80" s="16"/>
      <c r="G80" s="16">
        <v>2</v>
      </c>
      <c r="H80" s="16">
        <v>1</v>
      </c>
      <c r="I80" s="16">
        <v>87.7</v>
      </c>
      <c r="J80" s="16">
        <v>87.9</v>
      </c>
      <c r="K80" s="30">
        <f t="shared" si="101"/>
        <v>0.2280501710376315</v>
      </c>
      <c r="L80" s="16">
        <v>1.62</v>
      </c>
      <c r="M80" s="16">
        <v>1.62</v>
      </c>
      <c r="N80" s="16">
        <v>33.4</v>
      </c>
      <c r="O80" s="16">
        <v>33.4</v>
      </c>
      <c r="P80" s="30">
        <f t="shared" si="102"/>
        <v>0</v>
      </c>
      <c r="Q80" s="16">
        <v>95</v>
      </c>
      <c r="R80" s="16">
        <v>96</v>
      </c>
      <c r="S80" s="30">
        <f t="shared" si="103"/>
        <v>1.0526315789473684</v>
      </c>
      <c r="T80" s="16">
        <v>103</v>
      </c>
      <c r="U80" s="16">
        <v>106</v>
      </c>
      <c r="V80" s="30">
        <f t="shared" si="104"/>
        <v>2.912621359223301</v>
      </c>
      <c r="W80" s="16">
        <v>110</v>
      </c>
      <c r="X80" s="16">
        <v>119</v>
      </c>
      <c r="Y80" s="30">
        <f t="shared" si="105"/>
        <v>8.1818181818181817</v>
      </c>
      <c r="Z80" s="16">
        <v>145</v>
      </c>
      <c r="AA80" s="16">
        <v>130</v>
      </c>
      <c r="AB80" s="30">
        <f t="shared" si="106"/>
        <v>-10.344827586206897</v>
      </c>
      <c r="AC80" s="16">
        <v>90</v>
      </c>
      <c r="AD80" s="16">
        <v>90</v>
      </c>
      <c r="AE80" s="30">
        <f t="shared" si="107"/>
        <v>0</v>
      </c>
      <c r="AF80" s="16">
        <v>42.9</v>
      </c>
      <c r="AG80" s="16">
        <v>42.5</v>
      </c>
      <c r="AH80" s="30">
        <f t="shared" si="108"/>
        <v>-0.93240093240092914</v>
      </c>
      <c r="AI80" s="16">
        <v>442</v>
      </c>
      <c r="AJ80" s="16">
        <v>436</v>
      </c>
      <c r="AK80" s="30">
        <f t="shared" si="109"/>
        <v>-1.3574660633484164</v>
      </c>
      <c r="AL80" s="16">
        <v>43</v>
      </c>
      <c r="AM80" s="16">
        <v>43</v>
      </c>
      <c r="AN80" s="25">
        <v>106</v>
      </c>
      <c r="AO80" s="18">
        <v>112</v>
      </c>
      <c r="AP80" s="30">
        <f t="shared" si="110"/>
        <v>5.6603773584905666</v>
      </c>
      <c r="AQ80" s="25">
        <v>19</v>
      </c>
      <c r="AR80" s="18">
        <v>31</v>
      </c>
      <c r="AS80" s="30">
        <f t="shared" si="111"/>
        <v>63.157894736842103</v>
      </c>
      <c r="AT80" s="25">
        <v>0.75</v>
      </c>
      <c r="AU80" s="22">
        <v>0.79</v>
      </c>
      <c r="AV80" s="30">
        <f t="shared" si="112"/>
        <v>5.3333333333333375</v>
      </c>
      <c r="AW80" s="25">
        <v>0.33</v>
      </c>
      <c r="AX80" s="22">
        <v>0.31</v>
      </c>
      <c r="AY80" s="30">
        <f t="shared" si="113"/>
        <v>-6.0606060606060659</v>
      </c>
      <c r="AZ80" s="25">
        <v>7.0000000000000007E-2</v>
      </c>
      <c r="BA80" s="22">
        <v>0.06</v>
      </c>
      <c r="BB80" s="30">
        <f t="shared" si="114"/>
        <v>-14.285714285714295</v>
      </c>
      <c r="BC80" s="25">
        <f t="shared" si="72"/>
        <v>0.26</v>
      </c>
      <c r="BD80" s="17">
        <f t="shared" si="115"/>
        <v>0.25</v>
      </c>
      <c r="BE80" s="30">
        <f t="shared" si="116"/>
        <v>-3.8461538461538494</v>
      </c>
      <c r="BF80" s="25">
        <v>29</v>
      </c>
      <c r="BG80" s="18">
        <v>39</v>
      </c>
      <c r="BH80" s="25">
        <v>15</v>
      </c>
      <c r="BI80" s="18">
        <v>20</v>
      </c>
      <c r="BJ80" s="25">
        <v>21</v>
      </c>
      <c r="BK80" s="18">
        <v>24</v>
      </c>
      <c r="BL80" s="25">
        <v>3.9</v>
      </c>
      <c r="BM80" s="23">
        <v>4.8</v>
      </c>
      <c r="BN80" s="30">
        <f t="shared" si="117"/>
        <v>23.076923076923077</v>
      </c>
      <c r="BO80" s="25">
        <v>7.15</v>
      </c>
      <c r="BP80" s="22">
        <v>6.97</v>
      </c>
      <c r="BQ80" s="30">
        <f t="shared" si="118"/>
        <v>-2.5174825174825255</v>
      </c>
      <c r="BR80" s="25">
        <v>3.22</v>
      </c>
      <c r="BS80" s="22">
        <v>3.31</v>
      </c>
      <c r="BT80" s="30">
        <f t="shared" si="119"/>
        <v>2.7950310559006168</v>
      </c>
      <c r="BU80" s="25">
        <f t="shared" si="85"/>
        <v>3.93</v>
      </c>
      <c r="BV80" s="17">
        <f t="shared" si="55"/>
        <v>3.6599999999999997</v>
      </c>
      <c r="BW80" s="30">
        <f t="shared" si="120"/>
        <v>-6.8702290076335988</v>
      </c>
      <c r="BX80" s="25">
        <v>220</v>
      </c>
      <c r="BY80" s="18">
        <v>246</v>
      </c>
      <c r="BZ80" s="30">
        <f t="shared" si="121"/>
        <v>11.818181818181818</v>
      </c>
      <c r="CA80" s="25">
        <v>39</v>
      </c>
      <c r="CB80" s="18">
        <v>48</v>
      </c>
      <c r="CC80" s="30">
        <f t="shared" si="122"/>
        <v>23.076923076923077</v>
      </c>
      <c r="CD80" s="25">
        <f t="shared" si="83"/>
        <v>154.6</v>
      </c>
      <c r="CE80" s="17">
        <f t="shared" si="86"/>
        <v>172.8</v>
      </c>
      <c r="CF80" s="30">
        <f t="shared" si="123"/>
        <v>11.772315653298847</v>
      </c>
      <c r="CG80" s="25">
        <v>132</v>
      </c>
      <c r="CH80" s="18">
        <v>126</v>
      </c>
      <c r="CI80" s="30">
        <f t="shared" si="124"/>
        <v>-4.5454545454545459</v>
      </c>
      <c r="CJ80" s="25">
        <v>3.6</v>
      </c>
      <c r="CK80" s="23">
        <v>2.6</v>
      </c>
      <c r="CL80" s="30">
        <f t="shared" si="125"/>
        <v>-27.777777777777779</v>
      </c>
      <c r="CM80" s="25">
        <v>12.4</v>
      </c>
      <c r="CN80" s="18">
        <v>9.9</v>
      </c>
      <c r="CO80" s="30">
        <f t="shared" si="126"/>
        <v>-20.161290322580644</v>
      </c>
      <c r="CP80" s="25">
        <v>11.8</v>
      </c>
      <c r="CQ80" s="18">
        <v>29.4</v>
      </c>
      <c r="CR80" s="25">
        <v>50</v>
      </c>
      <c r="CS80" s="18">
        <v>46.9</v>
      </c>
      <c r="CT80" s="17">
        <f t="shared" si="87"/>
        <v>3.2696517412935324</v>
      </c>
      <c r="CU80" s="17">
        <f t="shared" si="88"/>
        <v>2.7582089552238807</v>
      </c>
      <c r="CV80" s="30">
        <f t="shared" si="127"/>
        <v>-15.642118076688986</v>
      </c>
      <c r="CW80" s="19">
        <f t="shared" si="89"/>
        <v>1.6666666666666667</v>
      </c>
      <c r="CX80" s="20">
        <f t="shared" si="90"/>
        <v>1.9523809523809523</v>
      </c>
      <c r="CY80" s="19">
        <f t="shared" si="84"/>
        <v>1.1712121212121211</v>
      </c>
      <c r="CZ80" s="20">
        <f t="shared" si="91"/>
        <v>1.3714285714285714</v>
      </c>
      <c r="DA80" s="19">
        <f t="shared" si="74"/>
        <v>5.6410256410256414</v>
      </c>
      <c r="DB80" s="20">
        <f t="shared" si="69"/>
        <v>5.125</v>
      </c>
      <c r="DC80" s="19">
        <f t="shared" si="75"/>
        <v>3.9641025641025638</v>
      </c>
      <c r="DD80" s="20">
        <f t="shared" si="70"/>
        <v>3.6</v>
      </c>
      <c r="DE80" s="19">
        <f t="shared" si="76"/>
        <v>181</v>
      </c>
      <c r="DF80" s="20">
        <f t="shared" si="71"/>
        <v>198</v>
      </c>
      <c r="DG80" s="19">
        <v>19</v>
      </c>
      <c r="DH80" s="16"/>
      <c r="DI80" s="19" t="s">
        <v>416</v>
      </c>
      <c r="DJ80" s="16">
        <v>179.51</v>
      </c>
      <c r="DK80" s="19" t="s">
        <v>417</v>
      </c>
      <c r="DL80" s="16">
        <v>81.59</v>
      </c>
      <c r="DM80" s="30">
        <f t="shared" si="92"/>
        <v>2.3713927227101639</v>
      </c>
      <c r="DN80" s="19">
        <v>1112.54</v>
      </c>
      <c r="DO80" s="16">
        <v>698.98</v>
      </c>
      <c r="DP80" s="30">
        <f t="shared" si="93"/>
        <v>-37.172596041490642</v>
      </c>
      <c r="DQ80" s="19" t="s">
        <v>418</v>
      </c>
      <c r="DR80" s="16">
        <v>5.94</v>
      </c>
      <c r="DS80" s="30">
        <f t="shared" si="94"/>
        <v>25.316455696202532</v>
      </c>
      <c r="DT80" s="27">
        <v>417.85</v>
      </c>
      <c r="DU80" s="28">
        <v>354.37</v>
      </c>
      <c r="DV80" s="30">
        <f t="shared" si="95"/>
        <v>-15.192054565035304</v>
      </c>
      <c r="DW80" s="19">
        <v>0.45200000000000001</v>
      </c>
      <c r="DX80" s="16">
        <v>0.36799999999999999</v>
      </c>
      <c r="DY80" s="30">
        <f t="shared" si="96"/>
        <v>-18.584070796460182</v>
      </c>
      <c r="DZ80" s="19">
        <v>663398.23</v>
      </c>
      <c r="EA80" s="16">
        <v>1275224.08</v>
      </c>
      <c r="EB80" s="30">
        <f t="shared" si="97"/>
        <v>92.226029906652016</v>
      </c>
      <c r="EC80" s="19">
        <v>16.16</v>
      </c>
      <c r="ED80" s="16"/>
      <c r="EE80" s="30">
        <f t="shared" si="98"/>
        <v>-100</v>
      </c>
      <c r="EF80" s="19">
        <f t="shared" si="81"/>
        <v>285.26666666666665</v>
      </c>
      <c r="EG80" s="20">
        <f t="shared" si="128"/>
        <v>145.62083333333334</v>
      </c>
      <c r="EH80" s="16">
        <v>50.34</v>
      </c>
      <c r="EI80" s="16">
        <v>42.98</v>
      </c>
      <c r="EJ80" s="30">
        <f t="shared" si="99"/>
        <v>-14.620580055621785</v>
      </c>
      <c r="EK80" s="16">
        <v>33.93</v>
      </c>
      <c r="EL80" s="16">
        <v>15.28</v>
      </c>
      <c r="EM80" s="30">
        <f t="shared" si="100"/>
        <v>-54.966106690244622</v>
      </c>
    </row>
    <row r="81" spans="16:143">
      <c r="P81" s="31"/>
      <c r="S81" s="31"/>
      <c r="V81" s="31"/>
      <c r="Y81" s="31"/>
      <c r="AB81" s="31"/>
      <c r="AE81" s="31"/>
      <c r="AH81" s="31"/>
      <c r="AK81" s="31"/>
      <c r="AP81" s="31"/>
      <c r="AS81" s="31"/>
      <c r="AV81" s="31"/>
      <c r="AY81" s="31"/>
      <c r="BB81" s="31"/>
      <c r="BE81" s="31"/>
      <c r="BN81" s="31"/>
      <c r="BQ81" s="31"/>
      <c r="BT81" s="31"/>
      <c r="BW81" s="31"/>
      <c r="BZ81" s="31"/>
      <c r="CC81" s="31"/>
      <c r="CF81" s="31"/>
      <c r="CI81" s="31"/>
      <c r="CL81" s="31"/>
      <c r="CO81" s="31"/>
      <c r="CV81" s="31"/>
      <c r="DM81" s="31"/>
      <c r="DP81" s="31"/>
      <c r="DS81" s="31"/>
      <c r="DV81" s="31"/>
      <c r="DY81" s="31"/>
      <c r="EB81" s="31"/>
      <c r="EE81" s="31"/>
      <c r="EJ81" s="31"/>
      <c r="EM81" s="3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X</cp:lastModifiedBy>
  <cp:revision/>
  <dcterms:created xsi:type="dcterms:W3CDTF">2017-10-26T14:31:29Z</dcterms:created>
  <dcterms:modified xsi:type="dcterms:W3CDTF">2020-06-29T17:20:28Z</dcterms:modified>
  <cp:category/>
  <cp:contentStatus/>
</cp:coreProperties>
</file>